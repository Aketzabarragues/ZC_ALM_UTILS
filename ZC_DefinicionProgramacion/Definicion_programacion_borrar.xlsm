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Zeus Control\Proyectos\GitHub\ZC_ALM_UTILS\ZC_DefinicionProgramacion\"/>
    </mc:Choice>
  </mc:AlternateContent>
  <xr:revisionPtr revIDLastSave="0" documentId="8_{0125A702-A35F-4599-A811-ACA6919E402F}" xr6:coauthVersionLast="47" xr6:coauthVersionMax="47" xr10:uidLastSave="{00000000-0000-0000-0000-000000000000}"/>
  <bookViews>
    <workbookView xWindow="-2730" yWindow="-19650" windowWidth="28800" windowHeight="15345" tabRatio="850" activeTab="1" xr2:uid="{48726B98-91B9-4357-A86D-A53DAA969770}"/>
  </bookViews>
  <sheets>
    <sheet name="PORTADA" sheetId="6" r:id="rId1"/>
    <sheet name="CONFIGURACION" sheetId="7" r:id="rId2"/>
    <sheet name="TOPOLOGIA" sheetId="131" r:id="rId3"/>
    <sheet name="ETAPAS" sheetId="133" r:id="rId4"/>
    <sheet name="P_REAL" sheetId="117" r:id="rId5"/>
    <sheet name="P_INT" sheetId="120" r:id="rId6"/>
    <sheet name="ALARMAS" sheetId="121" r:id="rId7"/>
    <sheet name="DISP_ED" sheetId="123" r:id="rId8"/>
    <sheet name="DISP_EA" sheetId="124" r:id="rId9"/>
    <sheet name="DISP_SA" sheetId="125" r:id="rId10"/>
    <sheet name="DISP_V" sheetId="122" r:id="rId11"/>
    <sheet name="DISP_M" sheetId="126" r:id="rId12"/>
    <sheet name="DISP_M_VF" sheetId="127" r:id="rId13"/>
    <sheet name="LISTAS" sheetId="132" r:id="rId14"/>
    <sheet name="Log" sheetId="118" r:id="rId15"/>
    <sheet name="oldDISP_TOT" sheetId="101" r:id="rId16"/>
    <sheet name="oldDISP_TQ" sheetId="128" r:id="rId17"/>
    <sheet name="oldDISP_TQ_AE" sheetId="129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6" hidden="1">ALARMAS!#REF!</definedName>
    <definedName name="_xlnm._FilterDatabase" localSheetId="21" hidden="1">COM!$A$9:$K$187</definedName>
    <definedName name="_xlnm._FilterDatabase" localSheetId="1" hidden="1">CONFIGURACION!$C$23:$F$23</definedName>
    <definedName name="_xlnm._FilterDatabase" localSheetId="8" hidden="1">DISP_EA!#REF!</definedName>
    <definedName name="_xlnm._FilterDatabase" localSheetId="7" hidden="1">DISP_ED!#REF!</definedName>
    <definedName name="_xlnm._FilterDatabase" localSheetId="11" hidden="1">DISP_M!#REF!</definedName>
    <definedName name="_xlnm._FilterDatabase" localSheetId="12" hidden="1">DISP_M_VF!#REF!</definedName>
    <definedName name="_xlnm._FilterDatabase" localSheetId="9" hidden="1">DISP_SA!#REF!</definedName>
    <definedName name="_xlnm._FilterDatabase" localSheetId="10" hidden="1">DISP_V!#REF!</definedName>
    <definedName name="_xlnm._FilterDatabase" localSheetId="3" hidden="1">ETAPAS!#REF!</definedName>
    <definedName name="_xlnm._FilterDatabase" localSheetId="13" hidden="1">LISTAS!#REF!</definedName>
    <definedName name="_xlnm._FilterDatabase" localSheetId="14" hidden="1">Log!#REF!</definedName>
    <definedName name="_xlnm._FilterDatabase" localSheetId="15" hidden="1">oldDISP_TOT!$B$10:$I$70</definedName>
    <definedName name="_xlnm._FilterDatabase" localSheetId="5" hidden="1">P_INT!#REF!</definedName>
    <definedName name="_xlnm._FilterDatabase" localSheetId="4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IF" hidden="1" xlm="1">#NAME?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3" i="121" l="1"/>
  <c r="H152" i="121"/>
  <c r="H151" i="121"/>
  <c r="H150" i="121"/>
  <c r="H149" i="121"/>
  <c r="H148" i="121"/>
  <c r="H147" i="121"/>
  <c r="H146" i="121"/>
  <c r="H145" i="121"/>
  <c r="H144" i="121"/>
  <c r="H143" i="121"/>
  <c r="H142" i="121"/>
  <c r="H141" i="121"/>
  <c r="H140" i="121"/>
  <c r="H139" i="121"/>
  <c r="H138" i="121"/>
  <c r="J184" i="120"/>
  <c r="J183" i="120"/>
  <c r="J182" i="120"/>
  <c r="J181" i="120"/>
  <c r="J180" i="120"/>
  <c r="J179" i="120"/>
  <c r="J178" i="120"/>
  <c r="J177" i="120"/>
  <c r="J176" i="120"/>
  <c r="J175" i="120"/>
  <c r="J527" i="117"/>
  <c r="J526" i="117"/>
  <c r="J525" i="117"/>
  <c r="J524" i="117"/>
  <c r="J523" i="117"/>
  <c r="J522" i="117"/>
  <c r="J521" i="117"/>
  <c r="J520" i="117"/>
  <c r="J519" i="117"/>
  <c r="J518" i="117"/>
  <c r="J64" i="133"/>
  <c r="K64" i="133"/>
  <c r="J63" i="133"/>
  <c r="K63" i="133"/>
  <c r="J62" i="133"/>
  <c r="K62" i="133"/>
  <c r="J61" i="133"/>
  <c r="K61" i="133"/>
  <c r="J60" i="133"/>
  <c r="K60" i="133"/>
  <c r="J59" i="133"/>
  <c r="K59" i="133"/>
  <c r="J58" i="133"/>
  <c r="K58" i="133"/>
  <c r="J57" i="133"/>
  <c r="K57" i="133"/>
  <c r="J56" i="133"/>
  <c r="K56" i="133"/>
  <c r="J55" i="133"/>
  <c r="K55" i="133"/>
  <c r="J54" i="133"/>
  <c r="K54" i="133"/>
  <c r="J53" i="133"/>
  <c r="K53" i="133"/>
  <c r="J52" i="133"/>
  <c r="K52" i="133"/>
  <c r="J51" i="133"/>
  <c r="K51" i="133"/>
  <c r="J50" i="133"/>
  <c r="K50" i="133"/>
  <c r="J49" i="133"/>
  <c r="K49" i="133"/>
  <c r="J48" i="133"/>
  <c r="K48" i="133"/>
  <c r="J47" i="133"/>
  <c r="K47" i="133"/>
  <c r="J46" i="133"/>
  <c r="K46" i="133"/>
  <c r="J45" i="133"/>
  <c r="K45" i="133"/>
  <c r="J44" i="133"/>
  <c r="K44" i="133"/>
  <c r="J43" i="133"/>
  <c r="K43" i="133"/>
  <c r="J42" i="133"/>
  <c r="K42" i="133"/>
  <c r="J41" i="133"/>
  <c r="K41" i="133"/>
  <c r="J40" i="133"/>
  <c r="K40" i="133"/>
  <c r="J39" i="133"/>
  <c r="K39" i="133"/>
  <c r="J38" i="133"/>
  <c r="K38" i="133"/>
  <c r="J37" i="133"/>
  <c r="K37" i="133"/>
  <c r="J36" i="133"/>
  <c r="K36" i="133"/>
  <c r="J35" i="133"/>
  <c r="K35" i="133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J139" i="120"/>
  <c r="J138" i="120"/>
  <c r="J137" i="120"/>
  <c r="J136" i="120"/>
  <c r="J135" i="120"/>
  <c r="J134" i="120"/>
  <c r="J133" i="120"/>
  <c r="J132" i="120"/>
  <c r="J131" i="120"/>
  <c r="J130" i="120"/>
  <c r="J129" i="120"/>
  <c r="J128" i="120"/>
  <c r="J127" i="120"/>
  <c r="J126" i="120"/>
  <c r="J125" i="120"/>
  <c r="J124" i="120"/>
  <c r="J123" i="120"/>
  <c r="J122" i="120"/>
  <c r="J121" i="120"/>
  <c r="J120" i="120"/>
  <c r="J119" i="120"/>
  <c r="J118" i="120"/>
  <c r="J117" i="120"/>
  <c r="J116" i="120"/>
  <c r="J115" i="120"/>
  <c r="J114" i="120"/>
  <c r="J113" i="120"/>
  <c r="J112" i="120"/>
  <c r="J111" i="120"/>
  <c r="J110" i="120"/>
  <c r="J109" i="120"/>
  <c r="J108" i="120"/>
  <c r="J107" i="120"/>
  <c r="J106" i="120"/>
  <c r="J105" i="120"/>
  <c r="J104" i="120"/>
  <c r="J103" i="120"/>
  <c r="J102" i="120"/>
  <c r="J207" i="117"/>
  <c r="J206" i="117"/>
  <c r="J205" i="117"/>
  <c r="J204" i="117"/>
  <c r="J203" i="117"/>
  <c r="J202" i="117"/>
  <c r="J201" i="117"/>
  <c r="J200" i="117"/>
  <c r="J199" i="117"/>
  <c r="J198" i="117"/>
  <c r="J197" i="117"/>
  <c r="J196" i="117"/>
  <c r="J195" i="117"/>
  <c r="J194" i="117"/>
  <c r="J193" i="117"/>
  <c r="J192" i="117"/>
  <c r="J191" i="117"/>
  <c r="J190" i="117"/>
  <c r="J189" i="117"/>
  <c r="J188" i="117"/>
  <c r="J187" i="117"/>
  <c r="J186" i="117"/>
  <c r="J185" i="117"/>
  <c r="J184" i="117"/>
  <c r="J183" i="117"/>
  <c r="J182" i="117"/>
  <c r="J181" i="117"/>
  <c r="J180" i="117"/>
  <c r="J179" i="117"/>
  <c r="J178" i="117"/>
  <c r="J177" i="117"/>
  <c r="J176" i="117"/>
  <c r="J175" i="117"/>
  <c r="J174" i="117"/>
  <c r="J173" i="117"/>
  <c r="J172" i="117"/>
  <c r="J171" i="117"/>
  <c r="J170" i="117"/>
  <c r="J169" i="117"/>
  <c r="J168" i="117"/>
  <c r="J167" i="117"/>
  <c r="J166" i="117"/>
  <c r="J165" i="117"/>
  <c r="J164" i="117"/>
  <c r="J163" i="117"/>
  <c r="J162" i="117"/>
  <c r="J161" i="117"/>
  <c r="J160" i="117"/>
  <c r="M40" i="123"/>
  <c r="N40" i="123"/>
  <c r="M39" i="123"/>
  <c r="N39" i="123"/>
  <c r="M38" i="123"/>
  <c r="N38" i="123"/>
  <c r="M37" i="123"/>
  <c r="N37" i="123"/>
  <c r="M36" i="123"/>
  <c r="N36" i="123"/>
  <c r="M35" i="123"/>
  <c r="N35" i="123"/>
  <c r="M34" i="123"/>
  <c r="N34" i="123"/>
  <c r="M33" i="123"/>
  <c r="N33" i="123"/>
  <c r="M32" i="123"/>
  <c r="N32" i="123"/>
  <c r="M31" i="123"/>
  <c r="N31" i="123"/>
  <c r="Q35" i="122"/>
  <c r="R35" i="122"/>
  <c r="Q34" i="122"/>
  <c r="R34" i="122"/>
  <c r="Q33" i="122"/>
  <c r="R33" i="122"/>
  <c r="Q32" i="122"/>
  <c r="R32" i="122"/>
  <c r="Q31" i="122"/>
  <c r="R31" i="122"/>
  <c r="Q30" i="122"/>
  <c r="R30" i="122"/>
  <c r="Q29" i="122"/>
  <c r="R29" i="122"/>
  <c r="J66" i="120"/>
  <c r="J65" i="120"/>
  <c r="J64" i="120"/>
  <c r="J63" i="120"/>
  <c r="J62" i="120"/>
  <c r="M30" i="123"/>
  <c r="N30" i="123"/>
  <c r="M29" i="123"/>
  <c r="N29" i="123"/>
  <c r="M28" i="123"/>
  <c r="N28" i="123"/>
  <c r="M27" i="123"/>
  <c r="N27" i="123"/>
  <c r="M26" i="123"/>
  <c r="N26" i="123"/>
  <c r="R11" i="127"/>
  <c r="R12" i="127"/>
  <c r="R13" i="127"/>
  <c r="R14" i="127"/>
  <c r="R15" i="127"/>
  <c r="Q11" i="126"/>
  <c r="Q12" i="126"/>
  <c r="Q13" i="126"/>
  <c r="Q14" i="126"/>
  <c r="Q15" i="126"/>
  <c r="Q16" i="126"/>
  <c r="Q17" i="126"/>
  <c r="Q18" i="126"/>
  <c r="Q19" i="126"/>
  <c r="Q20" i="126"/>
  <c r="Q11" i="122"/>
  <c r="Q12" i="122"/>
  <c r="Q13" i="122"/>
  <c r="Q14" i="122"/>
  <c r="Q15" i="122"/>
  <c r="Q16" i="122"/>
  <c r="Q17" i="122"/>
  <c r="Q18" i="122"/>
  <c r="Q19" i="122"/>
  <c r="Q20" i="122"/>
  <c r="Q21" i="122"/>
  <c r="Q22" i="122"/>
  <c r="Q23" i="122"/>
  <c r="Q24" i="122"/>
  <c r="Q25" i="122"/>
  <c r="Q26" i="122"/>
  <c r="Q27" i="122"/>
  <c r="Q28" i="122"/>
  <c r="O11" i="125"/>
  <c r="O12" i="125"/>
  <c r="O13" i="125"/>
  <c r="O14" i="125"/>
  <c r="O15" i="125"/>
  <c r="O16" i="125"/>
  <c r="O17" i="125"/>
  <c r="O18" i="125"/>
  <c r="O19" i="125"/>
  <c r="O20" i="125"/>
  <c r="O21" i="125"/>
  <c r="O22" i="125"/>
  <c r="O23" i="125"/>
  <c r="O24" i="125"/>
  <c r="O25" i="125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O26" i="124"/>
  <c r="O27" i="124"/>
  <c r="O28" i="124"/>
  <c r="O29" i="124"/>
  <c r="O30" i="124"/>
  <c r="M11" i="123"/>
  <c r="M12" i="123"/>
  <c r="M13" i="123"/>
  <c r="M14" i="123"/>
  <c r="M15" i="123"/>
  <c r="M16" i="123"/>
  <c r="M17" i="123"/>
  <c r="M18" i="123"/>
  <c r="M19" i="123"/>
  <c r="M20" i="123"/>
  <c r="M21" i="123"/>
  <c r="M22" i="123"/>
  <c r="M23" i="123"/>
  <c r="M24" i="123"/>
  <c r="M25" i="123"/>
  <c r="N25" i="123"/>
  <c r="N24" i="123"/>
  <c r="N23" i="123"/>
  <c r="N22" i="123"/>
  <c r="N21" i="123"/>
  <c r="J31" i="120"/>
  <c r="J30" i="120"/>
  <c r="J99" i="133"/>
  <c r="K99" i="133"/>
  <c r="J98" i="133"/>
  <c r="K98" i="133"/>
  <c r="J97" i="133"/>
  <c r="K97" i="133"/>
  <c r="J96" i="133"/>
  <c r="K96" i="133"/>
  <c r="J95" i="133"/>
  <c r="K95" i="133"/>
  <c r="J94" i="133"/>
  <c r="K94" i="133"/>
  <c r="J93" i="133"/>
  <c r="K93" i="133"/>
  <c r="J92" i="133"/>
  <c r="K92" i="133"/>
  <c r="J91" i="133"/>
  <c r="K91" i="133"/>
  <c r="J90" i="133"/>
  <c r="K90" i="133"/>
  <c r="J89" i="133"/>
  <c r="K89" i="133"/>
  <c r="J88" i="133"/>
  <c r="K88" i="133"/>
  <c r="J87" i="133"/>
  <c r="K87" i="133"/>
  <c r="J86" i="133"/>
  <c r="K86" i="133"/>
  <c r="J85" i="133"/>
  <c r="K85" i="133"/>
  <c r="J84" i="133"/>
  <c r="K84" i="133"/>
  <c r="J83" i="133"/>
  <c r="K83" i="133"/>
  <c r="J82" i="133"/>
  <c r="K82" i="133"/>
  <c r="J81" i="133"/>
  <c r="K81" i="133"/>
  <c r="J80" i="133"/>
  <c r="K80" i="133"/>
  <c r="J79" i="133"/>
  <c r="K79" i="133"/>
  <c r="J78" i="133"/>
  <c r="K78" i="133"/>
  <c r="J77" i="133"/>
  <c r="K77" i="133"/>
  <c r="J76" i="133"/>
  <c r="K76" i="133"/>
  <c r="J75" i="133"/>
  <c r="K75" i="133"/>
  <c r="J74" i="133"/>
  <c r="K74" i="133"/>
  <c r="J73" i="133"/>
  <c r="K73" i="133"/>
  <c r="J72" i="133"/>
  <c r="K72" i="133"/>
  <c r="J71" i="133"/>
  <c r="K71" i="133"/>
  <c r="J70" i="133"/>
  <c r="K70" i="133"/>
  <c r="J69" i="133"/>
  <c r="K69" i="133"/>
  <c r="J68" i="133"/>
  <c r="K68" i="133"/>
  <c r="J67" i="133"/>
  <c r="K67" i="133"/>
  <c r="J66" i="133"/>
  <c r="K66" i="133"/>
  <c r="J65" i="133"/>
  <c r="K65" i="133"/>
  <c r="J34" i="133"/>
  <c r="K34" i="133"/>
  <c r="J33" i="133"/>
  <c r="K33" i="133"/>
  <c r="J32" i="133"/>
  <c r="K32" i="133"/>
  <c r="J31" i="133"/>
  <c r="K31" i="133"/>
  <c r="J30" i="133"/>
  <c r="K30" i="133"/>
  <c r="J29" i="133"/>
  <c r="K29" i="133"/>
  <c r="J28" i="133"/>
  <c r="K28" i="133"/>
  <c r="J27" i="133"/>
  <c r="K27" i="133"/>
  <c r="J26" i="133"/>
  <c r="K26" i="133"/>
  <c r="J25" i="133"/>
  <c r="K25" i="133"/>
  <c r="J24" i="133"/>
  <c r="K24" i="133"/>
  <c r="J23" i="133"/>
  <c r="K23" i="133"/>
  <c r="J22" i="133"/>
  <c r="K22" i="133"/>
  <c r="J21" i="133"/>
  <c r="K21" i="133"/>
  <c r="J20" i="133"/>
  <c r="K20" i="133"/>
  <c r="J19" i="133"/>
  <c r="K19" i="133"/>
  <c r="J18" i="133"/>
  <c r="K18" i="133"/>
  <c r="J17" i="133"/>
  <c r="K17" i="133"/>
  <c r="J16" i="133"/>
  <c r="K16" i="133"/>
  <c r="J15" i="133"/>
  <c r="K15" i="133"/>
  <c r="J14" i="133"/>
  <c r="K14" i="133"/>
  <c r="J13" i="133"/>
  <c r="K13" i="133"/>
  <c r="J12" i="133"/>
  <c r="K12" i="133"/>
  <c r="J11" i="133"/>
  <c r="K11" i="133"/>
  <c r="J10" i="133"/>
  <c r="K10" i="133"/>
  <c r="L7" i="133"/>
  <c r="B4" i="133"/>
  <c r="B3" i="133"/>
  <c r="B2" i="133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J61" i="120"/>
  <c r="J60" i="120"/>
  <c r="J59" i="120"/>
  <c r="J58" i="120"/>
  <c r="J57" i="120"/>
  <c r="J56" i="120"/>
  <c r="J55" i="120"/>
  <c r="J54" i="120"/>
  <c r="J53" i="120"/>
  <c r="J52" i="120"/>
  <c r="J51" i="120"/>
  <c r="J50" i="120"/>
  <c r="J49" i="120"/>
  <c r="J48" i="120"/>
  <c r="J47" i="120"/>
  <c r="J46" i="120"/>
  <c r="J45" i="120"/>
  <c r="J44" i="120"/>
  <c r="J43" i="120"/>
  <c r="J42" i="120"/>
  <c r="J41" i="120"/>
  <c r="J40" i="120"/>
  <c r="J39" i="120"/>
  <c r="J38" i="120"/>
  <c r="J37" i="120"/>
  <c r="J36" i="120"/>
  <c r="J35" i="120"/>
  <c r="J34" i="120"/>
  <c r="J33" i="120"/>
  <c r="J32" i="120"/>
  <c r="J216" i="117"/>
  <c r="J215" i="117"/>
  <c r="J214" i="117"/>
  <c r="J213" i="117"/>
  <c r="J212" i="117"/>
  <c r="J211" i="117"/>
  <c r="J210" i="117"/>
  <c r="J209" i="117"/>
  <c r="J208" i="117"/>
  <c r="J159" i="117"/>
  <c r="J158" i="117"/>
  <c r="J157" i="117"/>
  <c r="J156" i="117"/>
  <c r="J155" i="117"/>
  <c r="J154" i="117"/>
  <c r="J153" i="117"/>
  <c r="J152" i="117"/>
  <c r="J151" i="117"/>
  <c r="J150" i="117"/>
  <c r="J149" i="117"/>
  <c r="J148" i="117"/>
  <c r="J147" i="117"/>
  <c r="J146" i="117"/>
  <c r="J145" i="117"/>
  <c r="J144" i="117"/>
  <c r="J143" i="117"/>
  <c r="J142" i="117"/>
  <c r="J141" i="117"/>
  <c r="J140" i="117"/>
  <c r="J139" i="117"/>
  <c r="J138" i="117"/>
  <c r="J137" i="117"/>
  <c r="J136" i="117"/>
  <c r="J135" i="117"/>
  <c r="J134" i="117"/>
  <c r="J133" i="117"/>
  <c r="J132" i="117"/>
  <c r="J131" i="117"/>
  <c r="J130" i="117"/>
  <c r="J129" i="117"/>
  <c r="J128" i="117"/>
  <c r="J127" i="117"/>
  <c r="J126" i="117"/>
  <c r="J125" i="117"/>
  <c r="J124" i="117"/>
  <c r="J123" i="117"/>
  <c r="J122" i="117"/>
  <c r="J121" i="117"/>
  <c r="J120" i="117"/>
  <c r="J119" i="117"/>
  <c r="J118" i="117"/>
  <c r="J117" i="117"/>
  <c r="J116" i="117"/>
  <c r="J115" i="117"/>
  <c r="J114" i="117"/>
  <c r="J113" i="117"/>
  <c r="J112" i="117"/>
  <c r="J111" i="117"/>
  <c r="J110" i="117"/>
  <c r="J109" i="117"/>
  <c r="J108" i="117"/>
  <c r="J107" i="117"/>
  <c r="J106" i="117"/>
  <c r="J105" i="117"/>
  <c r="J104" i="117"/>
  <c r="J103" i="117"/>
  <c r="J102" i="117"/>
  <c r="J101" i="117"/>
  <c r="J100" i="117"/>
  <c r="P25" i="125"/>
  <c r="P24" i="125"/>
  <c r="P23" i="125"/>
  <c r="P22" i="125"/>
  <c r="P21" i="125"/>
  <c r="P30" i="124"/>
  <c r="P29" i="124"/>
  <c r="P28" i="124"/>
  <c r="P27" i="124"/>
  <c r="P26" i="124"/>
  <c r="N20" i="123"/>
  <c r="N19" i="123"/>
  <c r="N18" i="123"/>
  <c r="R28" i="122"/>
  <c r="R27" i="122"/>
  <c r="R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R25" i="122"/>
  <c r="R24" i="122"/>
  <c r="R23" i="122"/>
  <c r="R22" i="122"/>
  <c r="R21" i="122"/>
  <c r="N7" i="132"/>
  <c r="B4" i="132"/>
  <c r="B3" i="132"/>
  <c r="B2" i="132"/>
  <c r="Q7" i="131"/>
  <c r="B4" i="131"/>
  <c r="B3" i="131"/>
  <c r="B2" i="13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P20" i="125"/>
  <c r="P19" i="125"/>
  <c r="N17" i="123"/>
  <c r="N16" i="123"/>
  <c r="R20" i="122"/>
  <c r="R19" i="122"/>
  <c r="R18" i="122"/>
  <c r="R17" i="122"/>
  <c r="R16" i="122"/>
  <c r="S15" i="127"/>
  <c r="S14" i="127"/>
  <c r="S13" i="127"/>
  <c r="S12" i="127"/>
  <c r="S11" i="127"/>
  <c r="T7" i="127"/>
  <c r="B4" i="127"/>
  <c r="B3" i="127"/>
  <c r="B2" i="127"/>
  <c r="R20" i="126"/>
  <c r="R19" i="126"/>
  <c r="R18" i="126"/>
  <c r="R17" i="126"/>
  <c r="R16" i="126"/>
  <c r="R15" i="126"/>
  <c r="R14" i="126"/>
  <c r="R13" i="126"/>
  <c r="R12" i="126"/>
  <c r="R11" i="126"/>
  <c r="S7" i="126"/>
  <c r="B4" i="126"/>
  <c r="B3" i="126"/>
  <c r="B2" i="126"/>
  <c r="P18" i="125"/>
  <c r="P17" i="125"/>
  <c r="P16" i="125"/>
  <c r="P15" i="125"/>
  <c r="P14" i="125"/>
  <c r="P13" i="125"/>
  <c r="P12" i="125"/>
  <c r="P11" i="125"/>
  <c r="Q7" i="125"/>
  <c r="B4" i="125"/>
  <c r="B3" i="125"/>
  <c r="B2" i="125"/>
  <c r="P25" i="124"/>
  <c r="P24" i="124"/>
  <c r="P23" i="124"/>
  <c r="P22" i="124"/>
  <c r="P21" i="124"/>
  <c r="P20" i="124"/>
  <c r="P19" i="124"/>
  <c r="P18" i="124"/>
  <c r="P17" i="124"/>
  <c r="P16" i="124"/>
  <c r="P15" i="124"/>
  <c r="P14" i="124"/>
  <c r="P13" i="124"/>
  <c r="P12" i="124"/>
  <c r="P11" i="124"/>
  <c r="Q7" i="124" l="1"/>
  <c r="B4" i="124"/>
  <c r="B3" i="124"/>
  <c r="B2" i="124"/>
  <c r="N15" i="123"/>
  <c r="N14" i="123"/>
  <c r="N13" i="123"/>
  <c r="N12" i="123"/>
  <c r="N11" i="123"/>
  <c r="R15" i="122"/>
  <c r="R14" i="122"/>
  <c r="R13" i="122"/>
  <c r="R12" i="122"/>
  <c r="R11" i="122"/>
  <c r="O7" i="123"/>
  <c r="B4" i="123"/>
  <c r="B3" i="123"/>
  <c r="B2" i="123"/>
  <c r="J507" i="117" l="1"/>
  <c r="J506" i="117"/>
  <c r="J505" i="117"/>
  <c r="J504" i="117"/>
  <c r="J503" i="117"/>
  <c r="J502" i="117"/>
  <c r="J501" i="117"/>
  <c r="J500" i="117"/>
  <c r="J499" i="117"/>
  <c r="J498" i="117"/>
  <c r="J497" i="117"/>
  <c r="J496" i="117"/>
  <c r="J495" i="117"/>
  <c r="J494" i="117"/>
  <c r="J493" i="117"/>
  <c r="J492" i="117"/>
  <c r="J491" i="117"/>
  <c r="J490" i="117"/>
  <c r="J489" i="117"/>
  <c r="J488" i="117"/>
  <c r="J487" i="117"/>
  <c r="J486" i="117"/>
  <c r="J485" i="117"/>
  <c r="J484" i="117"/>
  <c r="J483" i="117"/>
  <c r="J482" i="117"/>
  <c r="J481" i="117"/>
  <c r="J480" i="117"/>
  <c r="J479" i="117"/>
  <c r="J478" i="117"/>
  <c r="J477" i="117"/>
  <c r="J476" i="117"/>
  <c r="J475" i="117"/>
  <c r="J474" i="117"/>
  <c r="J473" i="117"/>
  <c r="J472" i="117"/>
  <c r="J471" i="117"/>
  <c r="J470" i="117"/>
  <c r="J469" i="117"/>
  <c r="J468" i="117"/>
  <c r="J467" i="117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445" i="117"/>
  <c r="J444" i="117"/>
  <c r="J443" i="117"/>
  <c r="J442" i="117"/>
  <c r="J441" i="117"/>
  <c r="J440" i="117"/>
  <c r="J439" i="117"/>
  <c r="J43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J245" i="117"/>
  <c r="J244" i="117"/>
  <c r="J243" i="117"/>
  <c r="J242" i="117"/>
  <c r="J241" i="117"/>
  <c r="J240" i="117"/>
  <c r="J239" i="117"/>
  <c r="J238" i="117"/>
  <c r="H137" i="121"/>
  <c r="H136" i="121"/>
  <c r="H135" i="121"/>
  <c r="H134" i="121"/>
  <c r="H133" i="121"/>
  <c r="H132" i="121"/>
  <c r="H131" i="121"/>
  <c r="H13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S7" i="122" l="1"/>
  <c r="B4" i="122"/>
  <c r="B3" i="122"/>
  <c r="B2" i="122"/>
  <c r="J174" i="120"/>
  <c r="J173" i="120"/>
  <c r="J172" i="120"/>
  <c r="J171" i="120"/>
  <c r="J170" i="120"/>
  <c r="J517" i="117"/>
  <c r="J516" i="117"/>
  <c r="J515" i="117"/>
  <c r="J514" i="117"/>
  <c r="J513" i="117"/>
  <c r="J512" i="117"/>
  <c r="J511" i="117"/>
  <c r="J510" i="117"/>
  <c r="J509" i="117"/>
  <c r="J508" i="117"/>
  <c r="J169" i="120"/>
  <c r="J168" i="120"/>
  <c r="J167" i="120"/>
  <c r="J166" i="120"/>
  <c r="J165" i="120"/>
  <c r="J164" i="120"/>
  <c r="J163" i="120"/>
  <c r="J162" i="120"/>
  <c r="J161" i="120"/>
  <c r="J160" i="120"/>
  <c r="J159" i="120"/>
  <c r="J158" i="120"/>
  <c r="J157" i="120"/>
  <c r="J156" i="120"/>
  <c r="J155" i="120"/>
  <c r="J154" i="120"/>
  <c r="J153" i="120"/>
  <c r="J152" i="120"/>
  <c r="J151" i="120"/>
  <c r="J150" i="120"/>
  <c r="J149" i="120"/>
  <c r="J148" i="120"/>
  <c r="J147" i="120"/>
  <c r="J146" i="120"/>
  <c r="J145" i="120"/>
  <c r="J144" i="120"/>
  <c r="J143" i="120"/>
  <c r="J142" i="120"/>
  <c r="J141" i="120"/>
  <c r="J140" i="120"/>
  <c r="J101" i="120"/>
  <c r="J100" i="120"/>
  <c r="J99" i="120"/>
  <c r="J98" i="120"/>
  <c r="J97" i="120"/>
  <c r="J96" i="120"/>
  <c r="J95" i="120"/>
  <c r="J94" i="120"/>
  <c r="J93" i="120"/>
  <c r="J92" i="120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67" i="120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325" i="117"/>
  <c r="J324" i="117"/>
  <c r="J323" i="117"/>
  <c r="J322" i="117"/>
  <c r="J321" i="117"/>
  <c r="J320" i="117"/>
  <c r="J319" i="117"/>
  <c r="J31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J218" i="117"/>
  <c r="J217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P7" i="7" l="1"/>
  <c r="CY7" i="3"/>
  <c r="B3" i="3"/>
  <c r="B4" i="3"/>
  <c r="B2" i="3"/>
</calcChain>
</file>

<file path=xl/sharedStrings.xml><?xml version="1.0" encoding="utf-8"?>
<sst xmlns="http://schemas.openxmlformats.org/spreadsheetml/2006/main" count="6313" uniqueCount="2812">
  <si>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</si>
  <si>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</si>
  <si>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</si>
  <si>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</si>
  <si>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</si>
  <si>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</si>
  <si>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</si>
  <si>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</si>
  <si>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</si>
  <si>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</si>
  <si>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</si>
  <si>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</si>
  <si>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</si>
  <si>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</si>
  <si>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</si>
  <si>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</si>
  <si>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</si>
  <si>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</si>
  <si>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</si>
  <si>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</si>
  <si>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</si>
  <si>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</si>
  <si>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</si>
  <si>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</si>
  <si>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</si>
  <si>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</si>
  <si>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</si>
  <si>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</si>
  <si>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</si>
  <si>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</si>
  <si>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</si>
  <si>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</si>
  <si>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</si>
  <si>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</si>
  <si>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</si>
  <si>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</si>
  <si>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</si>
  <si>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</si>
  <si>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</si>
  <si>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</si>
  <si>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</si>
  <si>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</si>
  <si>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</si>
  <si>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</si>
  <si>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</si>
  <si>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</si>
  <si>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</si>
  <si>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</si>
  <si>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</si>
  <si>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</si>
  <si>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</si>
  <si>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</si>
  <si>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</si>
  <si>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</si>
  <si>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</si>
  <si>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</si>
  <si>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</si>
  <si>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</si>
  <si>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</si>
  <si>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</si>
  <si>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</si>
  <si>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</si>
  <si>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</si>
  <si>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</si>
  <si>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</si>
  <si>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TTI-102</t>
  </si>
  <si>
    <t>TTI-104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</si>
  <si>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</si>
  <si>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</si>
  <si>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</si>
  <si>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</si>
  <si>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</si>
  <si>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</si>
  <si>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</si>
  <si>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</si>
  <si>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</si>
  <si>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</si>
  <si>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</si>
  <si>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</si>
  <si>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</si>
  <si>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</si>
  <si>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</si>
  <si>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</si>
  <si>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</si>
  <si>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</si>
  <si>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</si>
  <si>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</si>
  <si>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</si>
  <si>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</si>
  <si>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</si>
  <si>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</si>
  <si>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TTI-103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</si>
  <si>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</si>
  <si>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</si>
  <si>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</si>
  <si>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</si>
  <si>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</si>
  <si>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</si>
  <si>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</si>
  <si>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</si>
  <si>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</si>
  <si>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</si>
  <si>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</si>
  <si>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</si>
  <si>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</si>
  <si>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</si>
  <si>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</si>
  <si>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</si>
  <si>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</si>
  <si>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</si>
  <si>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</si>
  <si>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</si>
  <si>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</si>
  <si>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</si>
  <si>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</si>
  <si>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</si>
  <si>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</si>
  <si>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</si>
  <si>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</si>
  <si>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</si>
  <si>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</si>
  <si>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</si>
  <si>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</si>
  <si>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</si>
  <si>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</si>
  <si>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</si>
  <si>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</si>
  <si>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</si>
  <si>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</si>
  <si>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</si>
  <si>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</si>
  <si>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</si>
  <si>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</si>
  <si>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</si>
  <si>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</si>
  <si>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</si>
  <si>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</si>
  <si>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</si>
  <si>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</si>
  <si>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</si>
  <si>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</si>
  <si>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</si>
  <si>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</si>
  <si>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</si>
  <si>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</si>
  <si>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</si>
  <si>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</si>
  <si>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</si>
  <si>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</si>
  <si>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</si>
  <si>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</si>
  <si>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</si>
  <si>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</si>
  <si>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</si>
  <si>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</si>
  <si>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</si>
  <si>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</si>
  <si>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</si>
  <si>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</si>
  <si>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</si>
  <si>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</si>
  <si>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</si>
  <si>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</si>
  <si>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</si>
  <si>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</si>
  <si>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</si>
  <si>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</si>
  <si>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</si>
  <si>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</si>
  <si>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</si>
  <si>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</si>
  <si>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</si>
  <si>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</si>
  <si>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</si>
  <si>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</si>
  <si>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</si>
  <si>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</si>
  <si>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</si>
  <si>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</si>
  <si>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</si>
  <si>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</si>
  <si>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</si>
  <si>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</si>
  <si>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</si>
  <si>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</si>
  <si>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</si>
  <si>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</si>
  <si>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</si>
  <si>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</si>
  <si>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</si>
  <si>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</si>
  <si>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</si>
  <si>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</si>
  <si>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</si>
  <si>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</si>
  <si>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</si>
  <si>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</si>
  <si>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</si>
  <si>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</si>
  <si>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</si>
  <si>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</si>
  <si>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</si>
  <si>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</si>
  <si>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</si>
  <si>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</si>
  <si>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</si>
  <si>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</si>
  <si>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</si>
  <si>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</si>
  <si>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</si>
  <si>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</si>
  <si>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</si>
  <si>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</si>
  <si>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</si>
  <si>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</si>
  <si>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</si>
  <si>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</si>
  <si>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</si>
  <si>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</si>
  <si>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</si>
  <si>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</si>
  <si>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</si>
  <si>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</si>
  <si>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</si>
  <si>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</si>
  <si>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</si>
  <si>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</si>
  <si>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</si>
  <si>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</si>
  <si>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</si>
  <si>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</si>
  <si>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</si>
  <si>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</si>
  <si>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</si>
  <si>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</si>
  <si>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</si>
  <si>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</si>
  <si>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</si>
  <si>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</si>
  <si>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</si>
  <si>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</si>
  <si>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</si>
  <si>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</si>
  <si>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</si>
  <si>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</si>
  <si>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</si>
  <si>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</si>
  <si>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</si>
  <si>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</si>
  <si>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</si>
  <si>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</si>
  <si>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</si>
  <si>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</si>
  <si>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</si>
  <si>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</si>
  <si>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</si>
  <si>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</si>
  <si>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</si>
  <si>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</si>
  <si>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</si>
  <si>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</si>
  <si>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</si>
  <si>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</si>
  <si>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</si>
  <si>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</si>
  <si>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</si>
  <si>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</si>
  <si>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</si>
  <si>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</si>
  <si>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</si>
  <si>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</si>
  <si>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</si>
  <si>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</si>
  <si>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</si>
  <si>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</si>
  <si>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</si>
  <si>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</si>
  <si>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</si>
  <si>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</si>
  <si>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</si>
  <si>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</si>
  <si>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</si>
  <si>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</si>
  <si>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</si>
  <si>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</si>
  <si>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</si>
  <si>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</si>
  <si>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</si>
  <si>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</si>
  <si>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</si>
  <si>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</si>
  <si>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</si>
  <si>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</si>
  <si>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</si>
  <si>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</si>
  <si>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</si>
  <si>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</si>
  <si>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</si>
  <si>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</si>
  <si>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</si>
  <si>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</si>
  <si>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</si>
  <si>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</si>
  <si>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</si>
  <si>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</si>
  <si>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HMI</t>
  </si>
  <si>
    <t>PRUEBAS</t>
  </si>
  <si>
    <t>DP-507</t>
  </si>
  <si>
    <t>DP-508</t>
  </si>
  <si>
    <t>DP-509</t>
  </si>
  <si>
    <t>Observaciones</t>
  </si>
  <si>
    <t>NOMBRE</t>
  </si>
  <si>
    <t>4.10</t>
  </si>
  <si>
    <t>Numero</t>
  </si>
  <si>
    <t>1.0</t>
  </si>
  <si>
    <t>80.0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</si>
  <si>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</si>
  <si>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</si>
  <si>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</si>
  <si>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</si>
  <si>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</si>
  <si>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</si>
  <si>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</si>
  <si>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</si>
  <si>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</si>
  <si>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</si>
  <si>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</si>
  <si>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</si>
  <si>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</si>
  <si>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</si>
  <si>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</si>
  <si>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</si>
  <si>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</si>
  <si>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</si>
  <si>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</si>
  <si>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</si>
  <si>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</si>
  <si>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</si>
  <si>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</si>
  <si>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</si>
  <si>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</si>
  <si>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</si>
  <si>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</si>
  <si>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</si>
  <si>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</si>
  <si>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</si>
  <si>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</si>
  <si>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</si>
  <si>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</si>
  <si>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</si>
  <si>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</si>
  <si>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</si>
  <si>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</si>
  <si>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</si>
  <si>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</si>
  <si>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</si>
  <si>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</si>
  <si>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</si>
  <si>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</si>
  <si>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</si>
  <si>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</si>
  <si>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</si>
  <si>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</si>
  <si>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</si>
  <si>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</si>
  <si>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</si>
  <si>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</si>
  <si>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</si>
  <si>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</si>
  <si>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</si>
  <si>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</si>
  <si>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</si>
  <si>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</si>
  <si>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</si>
  <si>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</si>
  <si>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</si>
  <si>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</si>
  <si>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</si>
  <si>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</si>
  <si>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</si>
  <si>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</si>
  <si>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</si>
  <si>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</si>
  <si>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</si>
  <si>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</si>
  <si>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</si>
  <si>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</si>
  <si>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</si>
  <si>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</si>
  <si>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</si>
  <si>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</si>
  <si>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</si>
  <si>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</si>
  <si>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</si>
  <si>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</si>
  <si>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</si>
  <si>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</si>
  <si>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</si>
  <si>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</si>
  <si>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</si>
  <si>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</si>
  <si>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</si>
  <si>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</si>
  <si>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</si>
  <si>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</si>
  <si>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</si>
  <si>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</si>
  <si>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</si>
  <si>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</si>
  <si>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</si>
  <si>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</si>
  <si>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</si>
  <si>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</si>
  <si>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</si>
  <si>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</si>
  <si>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</si>
  <si>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</si>
  <si>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</si>
  <si>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</si>
  <si>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</si>
  <si>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</si>
  <si>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</si>
  <si>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</si>
  <si>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</si>
  <si>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</si>
  <si>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</si>
  <si>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</si>
  <si>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</si>
  <si>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</si>
  <si>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</si>
  <si>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</si>
  <si>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</si>
  <si>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</si>
  <si>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</si>
  <si>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</si>
  <si>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</si>
  <si>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</si>
  <si>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</si>
  <si>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</si>
  <si>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</si>
  <si>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</si>
  <si>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</si>
  <si>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</si>
  <si>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</si>
  <si>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</si>
  <si>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</si>
  <si>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</si>
  <si>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</si>
  <si>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</si>
  <si>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</si>
  <si>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</si>
  <si>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</si>
  <si>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</si>
  <si>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</si>
  <si>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</si>
  <si>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</si>
  <si>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</si>
  <si>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</si>
  <si>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</si>
  <si>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</si>
  <si>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</si>
  <si>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</si>
  <si>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</si>
  <si>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</si>
  <si>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</si>
  <si>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</si>
  <si>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</si>
  <si>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</si>
  <si>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</si>
  <si>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</si>
  <si>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</si>
  <si>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</si>
  <si>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</si>
  <si>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</si>
  <si>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</si>
  <si>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</si>
  <si>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</si>
  <si>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</si>
  <si>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</si>
  <si>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</si>
  <si>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</si>
  <si>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</si>
  <si>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</si>
  <si>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</si>
  <si>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</si>
  <si>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</si>
  <si>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</si>
  <si>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</si>
  <si>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</si>
  <si>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</si>
  <si>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</si>
  <si>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</si>
  <si>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</si>
  <si>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</si>
  <si>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</si>
  <si>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</si>
  <si>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</si>
  <si>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</si>
  <si>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</si>
  <si>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</si>
  <si>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</si>
  <si>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</si>
  <si>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</si>
  <si>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</si>
  <si>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</si>
  <si>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</si>
  <si>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</si>
  <si>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</si>
  <si>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</si>
  <si>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</si>
  <si>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</si>
  <si>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</si>
  <si>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</si>
  <si>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</si>
  <si>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</si>
  <si>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</si>
  <si>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</si>
  <si>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</si>
  <si>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</si>
  <si>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</si>
  <si>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</si>
  <si>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</si>
  <si>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</si>
  <si>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</si>
  <si>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</si>
  <si>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</si>
  <si>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</si>
  <si>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</si>
  <si>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</si>
  <si>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</si>
  <si>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</si>
  <si>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</si>
  <si>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</si>
  <si>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</si>
  <si>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</si>
  <si>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</si>
  <si>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</si>
  <si>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</si>
  <si>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</si>
  <si>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</si>
  <si>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</si>
  <si>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</si>
  <si>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</si>
  <si>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</si>
  <si>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</si>
  <si>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</si>
  <si>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</si>
  <si>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</si>
  <si>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</si>
  <si>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</si>
  <si>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</si>
  <si>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</si>
  <si>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</si>
  <si>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</si>
  <si>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</si>
  <si>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</si>
  <si>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</si>
  <si>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</si>
  <si>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</si>
  <si>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</si>
  <si>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</si>
  <si>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</si>
  <si>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</si>
  <si>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</si>
  <si>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</si>
  <si>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</si>
  <si>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</si>
  <si>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</si>
  <si>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</si>
  <si>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</si>
  <si>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</si>
  <si>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</si>
  <si>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</si>
  <si>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</si>
  <si>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</si>
  <si>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</si>
  <si>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</si>
  <si>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</si>
  <si>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</si>
  <si>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</si>
  <si>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</si>
  <si>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</si>
  <si>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</si>
  <si>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</si>
  <si>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</si>
  <si>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</si>
  <si>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</si>
  <si>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</si>
  <si>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</si>
  <si>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</si>
  <si>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</si>
  <si>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</si>
  <si>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</si>
  <si>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</si>
  <si>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</si>
  <si>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</si>
  <si>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</si>
  <si>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</si>
  <si>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</si>
  <si>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</si>
  <si>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</si>
  <si>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</si>
  <si>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</si>
  <si>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</si>
  <si>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</si>
  <si>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</si>
  <si>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</si>
  <si>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</si>
  <si>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</si>
  <si>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</si>
  <si>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</si>
  <si>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</si>
  <si>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</si>
  <si>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</si>
  <si>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</si>
  <si>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</si>
  <si>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</si>
  <si>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</si>
  <si>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</si>
  <si>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</si>
  <si>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</si>
  <si>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</si>
  <si>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</si>
  <si>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</si>
  <si>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</si>
  <si>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</si>
  <si>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</si>
  <si>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</si>
  <si>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</si>
  <si>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</si>
  <si>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</si>
  <si>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</si>
  <si>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</si>
  <si>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</si>
  <si>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</si>
  <si>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</si>
  <si>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</si>
  <si>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</si>
  <si>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</si>
  <si>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</si>
  <si>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</si>
  <si>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</si>
  <si>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</si>
  <si>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</si>
  <si>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</si>
  <si>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</si>
  <si>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</si>
  <si>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</si>
  <si>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</si>
  <si>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</si>
  <si>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</si>
  <si>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</si>
  <si>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</si>
  <si>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</si>
  <si>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</si>
  <si>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</si>
  <si>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</si>
  <si>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</si>
  <si>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</si>
  <si>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</si>
  <si>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</si>
  <si>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</si>
  <si>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</si>
  <si>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</si>
  <si>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</si>
  <si>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</si>
  <si>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</si>
  <si>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</si>
  <si>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</si>
  <si>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</si>
  <si>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</si>
  <si>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</si>
  <si>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</si>
  <si>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</si>
  <si>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</si>
  <si>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</si>
  <si>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</si>
  <si>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</si>
  <si>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</si>
  <si>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</si>
  <si>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</si>
  <si>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</si>
  <si>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</si>
  <si>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</si>
  <si>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</si>
  <si>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</si>
  <si>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</si>
  <si>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</si>
  <si>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</si>
  <si>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</si>
  <si>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</si>
  <si>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</si>
  <si>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</si>
  <si>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</si>
  <si>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</si>
  <si>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</si>
  <si>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</si>
  <si>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</si>
  <si>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</si>
  <si>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</si>
  <si>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</si>
  <si>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</si>
  <si>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</si>
  <si>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</si>
  <si>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</si>
  <si>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</si>
  <si>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</si>
  <si>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</si>
  <si>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</si>
  <si>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</si>
  <si>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</si>
  <si>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</si>
  <si>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</si>
  <si>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</si>
  <si>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</si>
  <si>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</si>
  <si>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</si>
  <si>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</si>
  <si>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</si>
  <si>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</si>
  <si>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</si>
  <si>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</si>
  <si>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</si>
  <si>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</si>
  <si>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</si>
  <si>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</si>
  <si>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</si>
  <si>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</si>
  <si>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</si>
  <si>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</si>
  <si>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</si>
  <si>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</si>
  <si>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</si>
  <si>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</si>
  <si>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</si>
  <si>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</si>
  <si>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</si>
  <si>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</si>
  <si>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</si>
  <si>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</si>
  <si>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</si>
  <si>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</si>
  <si>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</si>
  <si>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</si>
  <si>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</si>
  <si>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</si>
  <si>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</si>
  <si>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</si>
  <si>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</si>
  <si>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</si>
  <si>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</si>
  <si>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</si>
  <si>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</si>
  <si>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</si>
  <si>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</si>
  <si>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</si>
  <si>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</si>
  <si>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</si>
  <si>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</si>
  <si>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</si>
  <si>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</si>
  <si>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</si>
  <si>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</si>
  <si>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</si>
  <si>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</si>
  <si>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</si>
  <si>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</si>
  <si>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</si>
  <si>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</si>
  <si>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</si>
  <si>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</si>
  <si>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</si>
  <si>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</si>
  <si>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</si>
  <si>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</si>
  <si>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</si>
  <si>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</si>
  <si>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</si>
  <si>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</si>
  <si>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</si>
  <si>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</si>
  <si>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</si>
  <si>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</si>
  <si>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</si>
  <si>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</si>
  <si>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</si>
  <si>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</si>
  <si>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</si>
  <si>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</si>
  <si>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</si>
  <si>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</si>
  <si>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</si>
  <si>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</si>
  <si>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</si>
  <si>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</si>
  <si>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</si>
  <si>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</si>
  <si>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</si>
  <si>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</si>
  <si>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</si>
  <si>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</si>
  <si>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</si>
  <si>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</si>
  <si>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</si>
  <si>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</si>
  <si>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</si>
  <si>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</si>
  <si>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</si>
  <si>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</si>
  <si>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</si>
  <si>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</si>
  <si>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</si>
  <si>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</si>
  <si>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</si>
  <si>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</si>
  <si>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</si>
  <si>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</si>
  <si>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</si>
  <si>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</si>
  <si>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</si>
  <si>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</si>
  <si>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</si>
  <si>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</si>
  <si>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</si>
  <si>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</si>
  <si>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</si>
  <si>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</si>
  <si>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</si>
  <si>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</si>
  <si>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</si>
  <si>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</si>
  <si>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</si>
  <si>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</si>
  <si>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</si>
  <si>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</si>
  <si>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</si>
  <si>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</si>
  <si>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</si>
  <si>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</si>
  <si>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</si>
  <si>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</si>
  <si>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</si>
  <si>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</si>
  <si>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</si>
  <si>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</si>
  <si>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</si>
  <si>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</si>
  <si>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</si>
  <si>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</si>
  <si>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</si>
  <si>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</si>
  <si>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</si>
  <si>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</si>
  <si>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</si>
  <si>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</si>
  <si>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</si>
  <si>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</si>
  <si>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</si>
  <si>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</si>
  <si>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</si>
  <si>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</si>
  <si>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</si>
  <si>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</si>
  <si>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</si>
  <si>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</si>
  <si>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</si>
  <si>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</si>
  <si>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</si>
  <si>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</si>
  <si>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</si>
  <si>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</si>
  <si>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</si>
  <si>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</si>
  <si>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</si>
  <si>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</si>
  <si>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</si>
  <si>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</si>
  <si>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</si>
  <si>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</si>
  <si>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</si>
  <si>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</si>
  <si>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</si>
  <si>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</si>
  <si>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</si>
  <si>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</si>
  <si>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</si>
  <si>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</si>
  <si>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</si>
  <si>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</si>
  <si>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</si>
  <si>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</si>
  <si>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</si>
  <si>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</si>
  <si>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</si>
  <si>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</si>
  <si>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</si>
  <si>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</si>
  <si>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</si>
  <si>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</si>
  <si>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</si>
  <si>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</si>
  <si>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</si>
  <si>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</si>
  <si>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</si>
  <si>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</si>
  <si>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</si>
  <si>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</si>
  <si>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</si>
  <si>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</si>
  <si>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</si>
  <si>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</si>
  <si>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</si>
  <si>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</si>
  <si>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</si>
  <si>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</si>
  <si>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</si>
  <si>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</si>
  <si>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</si>
  <si>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</si>
  <si>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</si>
  <si>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</si>
  <si>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</si>
  <si>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</si>
  <si>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</si>
  <si>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</si>
  <si>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</si>
  <si>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</si>
  <si>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</si>
  <si>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</si>
  <si>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</si>
  <si>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</si>
  <si>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</si>
  <si>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</si>
  <si>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</si>
  <si>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</si>
  <si>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</si>
  <si>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</si>
  <si>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</si>
  <si>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</si>
  <si>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</si>
  <si>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</si>
  <si>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</si>
  <si>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</si>
  <si>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</si>
  <si>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</si>
  <si>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</si>
  <si>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</si>
  <si>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</si>
  <si>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</si>
  <si>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</si>
  <si>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</si>
  <si>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</si>
  <si>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</si>
  <si>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</si>
  <si>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</si>
  <si>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</si>
  <si>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</si>
  <si>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</si>
  <si>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</si>
  <si>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</si>
  <si>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</si>
  <si>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</si>
  <si>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</si>
  <si>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</si>
  <si>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</si>
  <si>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</si>
  <si>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</si>
  <si>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</si>
  <si>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</si>
  <si>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</si>
  <si>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</si>
  <si>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</si>
  <si>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</si>
  <si>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</si>
  <si>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</si>
  <si>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</si>
  <si>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</si>
  <si>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</si>
  <si>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</si>
  <si>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</si>
  <si>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</si>
  <si>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</si>
  <si>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</si>
  <si>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</si>
  <si>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</si>
  <si>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</si>
  <si>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</si>
  <si>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</si>
  <si>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</si>
  <si>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</si>
  <si>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</si>
  <si>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</si>
  <si>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</si>
  <si>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</si>
  <si>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</si>
  <si>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</si>
  <si>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</si>
  <si>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</si>
  <si>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</si>
  <si>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</si>
  <si>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</si>
  <si>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</si>
  <si>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</si>
  <si>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</si>
  <si>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</si>
  <si>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</si>
  <si>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</si>
  <si>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</si>
  <si>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</si>
  <si>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</si>
  <si>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</si>
  <si>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</si>
  <si>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</si>
  <si>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</si>
  <si>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</si>
  <si>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</si>
  <si>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</si>
  <si>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</si>
  <si>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</si>
  <si>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</si>
  <si>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</si>
  <si>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</si>
  <si>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</si>
  <si>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</si>
  <si>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</si>
  <si>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</si>
  <si>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</si>
  <si>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</si>
  <si>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</si>
  <si>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</si>
  <si>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</si>
  <si>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</si>
  <si>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</si>
  <si>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</si>
  <si>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</si>
  <si>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</si>
  <si>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</si>
  <si>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</si>
  <si>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</si>
  <si>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</si>
  <si>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</si>
  <si>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</si>
  <si>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</si>
  <si>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</si>
  <si>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</si>
  <si>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</si>
  <si>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</si>
  <si>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</si>
  <si>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</si>
  <si>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</si>
  <si>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</si>
  <si>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</si>
  <si>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</si>
  <si>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</si>
  <si>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</si>
  <si>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</si>
  <si>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</si>
  <si>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</si>
  <si>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</si>
  <si>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</si>
  <si>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</si>
  <si>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</si>
  <si>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</si>
  <si>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</si>
  <si>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</si>
  <si>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</si>
  <si>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</si>
  <si>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</si>
  <si>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</si>
  <si>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</si>
  <si>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</si>
  <si>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</si>
  <si>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</si>
  <si>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</si>
  <si>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</si>
  <si>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</si>
  <si>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</si>
  <si>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</si>
  <si>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</si>
  <si>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</si>
  <si>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</si>
  <si>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</si>
  <si>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</si>
  <si>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</si>
  <si>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</si>
  <si>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</si>
  <si>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</si>
  <si>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</si>
  <si>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</si>
  <si>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</si>
  <si>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</si>
  <si>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</si>
  <si>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</si>
  <si>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</si>
  <si>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</si>
  <si>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</si>
  <si>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</si>
  <si>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</si>
  <si>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</si>
  <si>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</si>
  <si>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</si>
  <si>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</si>
  <si>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</si>
  <si>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</si>
  <si>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</si>
  <si>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</si>
  <si>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</si>
  <si>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</si>
  <si>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</si>
  <si>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</si>
  <si>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</si>
  <si>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</si>
  <si>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</si>
  <si>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</si>
  <si>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</si>
  <si>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</si>
  <si>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</si>
  <si>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</si>
  <si>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</si>
  <si>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</si>
  <si>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</si>
  <si>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</si>
  <si>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</si>
  <si>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</si>
  <si>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</si>
  <si>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</si>
  <si>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</si>
  <si>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</si>
  <si>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</si>
  <si>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</si>
  <si>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</si>
  <si>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</si>
  <si>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</si>
  <si>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</si>
  <si>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</si>
  <si>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</si>
  <si>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</si>
  <si>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</si>
  <si>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</si>
  <si>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</si>
  <si>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</si>
  <si>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</si>
  <si>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</si>
  <si>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</si>
  <si>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</si>
  <si>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</si>
  <si>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</si>
  <si>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</si>
  <si>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</si>
  <si>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</si>
  <si>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</si>
  <si>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</si>
  <si>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</si>
  <si>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</si>
  <si>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</si>
  <si>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</si>
  <si>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</si>
  <si>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</si>
  <si>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</si>
  <si>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</si>
  <si>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</si>
  <si>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</si>
  <si>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</si>
  <si>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</si>
  <si>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</si>
  <si>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</si>
  <si>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</si>
  <si>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</si>
  <si>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</si>
  <si>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</si>
  <si>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</si>
  <si>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</si>
  <si>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</si>
  <si>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</si>
  <si>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</si>
  <si>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</si>
  <si>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</si>
  <si>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</si>
  <si>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</si>
  <si>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</si>
  <si>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</si>
  <si>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</si>
  <si>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</si>
  <si>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</si>
  <si>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</si>
  <si>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</si>
  <si>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</si>
  <si>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</si>
  <si>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</si>
  <si>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</si>
  <si>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</si>
  <si>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</si>
  <si>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</si>
  <si>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</si>
  <si>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</si>
  <si>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</si>
  <si>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</si>
  <si>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</si>
  <si>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</si>
  <si>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</si>
  <si>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</si>
  <si>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</si>
  <si>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</si>
  <si>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</si>
  <si>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</si>
  <si>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</si>
  <si>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</si>
  <si>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</si>
  <si>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</si>
  <si>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</si>
  <si>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</si>
  <si>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</si>
  <si>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</si>
  <si>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</si>
  <si>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</si>
  <si>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</si>
  <si>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</si>
  <si>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</si>
  <si>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</si>
  <si>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</si>
  <si>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</si>
  <si>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</si>
  <si>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</si>
  <si>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</si>
  <si>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</si>
  <si>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</si>
  <si>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</si>
  <si>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</si>
  <si>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</si>
  <si>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</si>
  <si>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</si>
  <si>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</si>
  <si>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</si>
  <si>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</si>
  <si>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</si>
  <si>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</si>
  <si>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</si>
  <si>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</si>
  <si>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</si>
  <si>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</si>
  <si>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</si>
  <si>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</si>
  <si>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</si>
  <si>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</si>
  <si>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</si>
  <si>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</si>
  <si>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</si>
  <si>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</si>
  <si>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</si>
  <si>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</si>
  <si>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</si>
  <si>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</si>
  <si>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</si>
  <si>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</si>
  <si>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</si>
  <si>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</si>
  <si>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</si>
  <si>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</si>
  <si>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</si>
  <si>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</si>
  <si>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</si>
  <si>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</si>
  <si>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</si>
  <si>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</si>
  <si>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</si>
  <si>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</si>
  <si>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</si>
  <si>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</si>
  <si>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</si>
  <si>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</si>
  <si>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</si>
  <si>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</si>
  <si>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</si>
  <si>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</si>
  <si>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</si>
  <si>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</si>
  <si>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</si>
  <si>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</si>
  <si>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</si>
  <si>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</si>
  <si>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</si>
  <si>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</si>
  <si>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</si>
  <si>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</si>
  <si>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</si>
  <si>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</si>
  <si>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</si>
  <si>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</si>
  <si>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</si>
  <si>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</si>
  <si>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</si>
  <si>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</si>
  <si>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</si>
  <si>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</si>
  <si>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</si>
  <si>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</si>
  <si>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</si>
  <si>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</si>
  <si>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</si>
  <si>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</si>
  <si>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</si>
  <si>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</si>
  <si>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</si>
  <si>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</si>
  <si>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</si>
  <si>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</si>
  <si>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</si>
  <si>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</si>
  <si>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</si>
  <si>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</si>
  <si>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</si>
  <si>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</si>
  <si>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</si>
  <si>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</si>
  <si>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</si>
  <si>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</si>
  <si>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</si>
  <si>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</si>
  <si>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</si>
  <si>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</si>
  <si>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</si>
  <si>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</si>
  <si>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</si>
  <si>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</si>
  <si>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</si>
  <si>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</si>
  <si>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</si>
  <si>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</si>
  <si>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</si>
  <si>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</si>
  <si>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</si>
  <si>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</si>
  <si>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</si>
  <si>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</si>
  <si>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</si>
  <si>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</si>
  <si>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</si>
  <si>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</si>
  <si>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</si>
  <si>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</si>
  <si>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</si>
  <si>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</si>
  <si>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</si>
  <si>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</si>
  <si>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</si>
  <si>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</si>
  <si>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</si>
  <si>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</si>
  <si>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</si>
  <si>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</si>
  <si>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</si>
  <si>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</si>
  <si>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</si>
  <si>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</si>
  <si>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</si>
  <si>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</si>
  <si>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</si>
  <si>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</si>
  <si>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</si>
  <si>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</si>
  <si>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</si>
  <si>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</si>
  <si>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</si>
  <si>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</si>
  <si>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</si>
  <si>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</si>
  <si>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</si>
  <si>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</si>
  <si>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</si>
  <si>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</si>
  <si>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</si>
  <si>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</si>
  <si>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</si>
  <si>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</si>
  <si>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</si>
  <si>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</si>
  <si>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</si>
  <si>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</si>
  <si>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</si>
  <si>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PI_501_001</t>
  </si>
  <si>
    <t>PI_501_002</t>
  </si>
  <si>
    <t>PI_501_003</t>
  </si>
  <si>
    <t>PI_501_004</t>
  </si>
  <si>
    <t>PI_501_005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</si>
  <si>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</si>
  <si>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</si>
  <si>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</si>
  <si>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</si>
  <si>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</si>
  <si>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</si>
  <si>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</si>
  <si>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</si>
  <si>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</si>
  <si>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</si>
  <si>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</si>
  <si>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</si>
  <si>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</si>
  <si>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</si>
  <si>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</si>
  <si>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</si>
  <si>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</si>
  <si>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</si>
  <si>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</si>
  <si>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</si>
  <si>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</si>
  <si>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</si>
  <si>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</si>
  <si>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</si>
  <si>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</si>
  <si>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</si>
  <si>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</si>
  <si>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</si>
  <si>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</si>
  <si>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</si>
  <si>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</si>
  <si>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</si>
  <si>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</si>
  <si>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</si>
  <si>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</si>
  <si>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</si>
  <si>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</si>
  <si>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</si>
  <si>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</si>
  <si>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</si>
  <si>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</si>
  <si>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</si>
  <si>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</si>
  <si>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</si>
  <si>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</si>
  <si>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</si>
  <si>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</si>
  <si>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</si>
  <si>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</si>
  <si>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</si>
  <si>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</si>
  <si>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</si>
  <si>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</si>
  <si>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</si>
  <si>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</si>
  <si>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</si>
  <si>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</si>
  <si>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</si>
  <si>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</si>
  <si>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</si>
  <si>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</si>
  <si>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</si>
  <si>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</si>
  <si>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</si>
  <si>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</si>
  <si>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</si>
  <si>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</si>
  <si>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</si>
  <si>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</si>
  <si>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</si>
  <si>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</si>
  <si>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</si>
  <si>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</si>
  <si>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</si>
  <si>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</si>
  <si>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</si>
  <si>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</si>
  <si>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</si>
  <si>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</si>
  <si>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</si>
  <si>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</si>
  <si>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</si>
  <si>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</si>
  <si>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</si>
  <si>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</si>
  <si>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</si>
  <si>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</si>
  <si>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</si>
  <si>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</si>
  <si>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</si>
  <si>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</si>
  <si>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</si>
  <si>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</si>
  <si>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</si>
  <si>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</si>
  <si>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</si>
  <si>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</si>
  <si>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</si>
  <si>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</si>
  <si>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</si>
  <si>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</si>
  <si>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</si>
  <si>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</si>
  <si>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</si>
  <si>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</si>
  <si>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</si>
  <si>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</si>
  <si>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</si>
  <si>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</si>
  <si>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</si>
  <si>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</si>
  <si>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</si>
  <si>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</si>
  <si>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</si>
  <si>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</si>
  <si>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</si>
  <si>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</si>
  <si>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</si>
  <si>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</si>
  <si>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</si>
  <si>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</si>
  <si>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</si>
  <si>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</si>
  <si>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</si>
  <si>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</si>
  <si>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</si>
  <si>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</si>
  <si>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</si>
  <si>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</si>
  <si>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</si>
  <si>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</si>
  <si>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</si>
  <si>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</si>
  <si>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</si>
  <si>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</si>
  <si>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</si>
  <si>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</si>
  <si>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</si>
  <si>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</si>
  <si>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</si>
  <si>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</si>
  <si>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</si>
  <si>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</si>
  <si>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</si>
  <si>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</si>
  <si>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</si>
  <si>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</si>
  <si>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</si>
  <si>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</si>
  <si>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</si>
  <si>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</si>
  <si>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</si>
  <si>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</si>
  <si>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</si>
  <si>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</si>
  <si>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</si>
  <si>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</si>
  <si>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</si>
  <si>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</si>
  <si>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</si>
  <si>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</si>
  <si>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</si>
  <si>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</si>
  <si>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</si>
  <si>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</si>
  <si>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</si>
  <si>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</si>
  <si>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</si>
  <si>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</si>
  <si>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</si>
  <si>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</si>
  <si>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</si>
  <si>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</si>
  <si>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</si>
  <si>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</si>
  <si>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</si>
  <si>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</si>
  <si>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</si>
  <si>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</si>
  <si>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</si>
  <si>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</si>
  <si>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</si>
  <si>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</si>
  <si>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</si>
  <si>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</si>
  <si>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</si>
  <si>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</si>
  <si>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</si>
  <si>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</si>
  <si>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</si>
  <si>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</si>
  <si>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</si>
  <si>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</si>
  <si>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</si>
  <si>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</si>
  <si>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</si>
  <si>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</si>
  <si>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</si>
  <si>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</si>
  <si>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</si>
  <si>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</si>
  <si>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</si>
  <si>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</si>
  <si>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</si>
  <si>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</si>
  <si>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</si>
  <si>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</si>
  <si>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</si>
  <si>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</si>
  <si>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</si>
  <si>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</si>
  <si>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</si>
  <si>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</si>
  <si>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</si>
  <si>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</si>
  <si>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</si>
  <si>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</si>
  <si>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</si>
  <si>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</si>
  <si>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</si>
  <si>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</si>
  <si>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</si>
  <si>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</si>
  <si>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</si>
  <si>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</si>
  <si>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</si>
  <si>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</si>
  <si>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</si>
  <si>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</si>
  <si>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</si>
  <si>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</si>
  <si>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</si>
  <si>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</si>
  <si>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</si>
  <si>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</si>
  <si>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</si>
  <si>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</si>
  <si>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</si>
  <si>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</si>
  <si>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</si>
  <si>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</si>
  <si>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</si>
  <si>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</si>
  <si>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</si>
  <si>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</si>
  <si>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</si>
  <si>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</si>
  <si>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LISTADO DISPOSITIVO ENTRADA DIGITAL</t>
  </si>
  <si>
    <t>Entrada</t>
  </si>
  <si>
    <t>E.Byte</t>
  </si>
  <si>
    <t>E.Bit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</si>
  <si>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</si>
  <si>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</si>
  <si>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</si>
  <si>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</si>
  <si>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</si>
  <si>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</si>
  <si>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</si>
  <si>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</si>
  <si>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</si>
  <si>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</si>
  <si>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</si>
  <si>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</si>
  <si>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</si>
  <si>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</si>
  <si>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</si>
  <si>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</si>
  <si>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</si>
  <si>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</si>
  <si>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</si>
  <si>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</si>
  <si>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</si>
  <si>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</si>
  <si>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</si>
  <si>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</si>
  <si>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</si>
  <si>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</si>
  <si>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</si>
  <si>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</si>
  <si>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</si>
  <si>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</si>
  <si>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</si>
  <si>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</si>
  <si>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</si>
  <si>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</si>
  <si>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</si>
  <si>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</si>
  <si>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</si>
  <si>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</si>
  <si>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</si>
  <si>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</si>
  <si>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</si>
  <si>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CP.Tag</t>
  </si>
  <si>
    <t>CP.Comentario</t>
  </si>
  <si>
    <t>V0.01</t>
  </si>
  <si>
    <t>TTI-112</t>
  </si>
  <si>
    <t>TTI-113</t>
  </si>
  <si>
    <t>TTI-114</t>
  </si>
  <si>
    <t>TTI-115</t>
  </si>
  <si>
    <t>Transmisor de temperatura</t>
  </si>
  <si>
    <t>V_016</t>
  </si>
  <si>
    <t>V_017</t>
  </si>
  <si>
    <t>V_018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</si>
  <si>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</si>
  <si>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</si>
  <si>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</si>
  <si>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</si>
  <si>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</si>
  <si>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</si>
  <si>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</si>
  <si>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</si>
  <si>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</si>
  <si>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</si>
  <si>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</si>
  <si>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</si>
  <si>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</si>
  <si>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</si>
  <si>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</si>
  <si>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</si>
  <si>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</si>
  <si>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</si>
  <si>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</si>
  <si>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</si>
  <si>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</si>
  <si>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</si>
  <si>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</si>
  <si>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</si>
  <si>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</si>
  <si>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</si>
  <si>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</si>
  <si>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</si>
  <si>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</si>
  <si>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</si>
  <si>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</si>
  <si>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</si>
  <si>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</si>
  <si>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</si>
  <si>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</si>
  <si>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</si>
  <si>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</si>
  <si>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</si>
  <si>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</si>
  <si>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</si>
  <si>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</si>
  <si>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</si>
  <si>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</si>
  <si>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</si>
  <si>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</si>
  <si>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</si>
  <si>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</si>
  <si>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Pendiente</t>
  </si>
  <si>
    <t>VA-958</t>
  </si>
  <si>
    <t>ED_006</t>
  </si>
  <si>
    <t>ED_007</t>
  </si>
  <si>
    <t>ED_008</t>
  </si>
  <si>
    <t>ED_009</t>
  </si>
  <si>
    <t>ED_010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</si>
  <si>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</si>
  <si>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</si>
  <si>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</si>
  <si>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</si>
  <si>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</si>
  <si>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</si>
  <si>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</si>
  <si>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</si>
  <si>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</si>
  <si>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</si>
  <si>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</si>
  <si>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</si>
  <si>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TTI-01</t>
  </si>
  <si>
    <t>VPCT-01</t>
  </si>
  <si>
    <t>B-01</t>
  </si>
  <si>
    <t>Frecuencia bomba</t>
  </si>
  <si>
    <t>Temperatura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</si>
  <si>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</si>
  <si>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</si>
  <si>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</si>
  <si>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</si>
  <si>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</si>
  <si>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</si>
  <si>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</si>
  <si>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</si>
  <si>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</si>
  <si>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</si>
  <si>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</si>
  <si>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</si>
  <si>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</si>
  <si>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</si>
  <si>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</si>
  <si>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</si>
  <si>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</si>
  <si>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</si>
  <si>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</si>
  <si>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</si>
  <si>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</si>
  <si>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</si>
  <si>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</si>
  <si>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</si>
  <si>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</si>
  <si>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</si>
  <si>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</si>
  <si>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</si>
  <si>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</si>
  <si>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</si>
  <si>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</si>
  <si>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</si>
  <si>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</si>
  <si>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</si>
  <si>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</si>
  <si>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</si>
  <si>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</si>
  <si>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</si>
  <si>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</si>
  <si>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</si>
  <si>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</si>
  <si>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</si>
  <si>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</si>
  <si>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</si>
  <si>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</si>
  <si>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</si>
  <si>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</si>
  <si>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</si>
  <si>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</si>
  <si>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</si>
  <si>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</si>
  <si>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</si>
  <si>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</si>
  <si>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</si>
  <si>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</si>
  <si>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</si>
  <si>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</si>
  <si>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</si>
  <si>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</si>
  <si>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</si>
  <si>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</si>
  <si>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</si>
  <si>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</si>
  <si>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</si>
  <si>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</si>
  <si>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</si>
  <si>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</si>
  <si>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</si>
  <si>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</si>
  <si>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</si>
  <si>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</si>
  <si>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</si>
  <si>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</si>
  <si>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</si>
  <si>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</si>
  <si>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</si>
  <si>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</si>
  <si>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</si>
  <si>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</si>
  <si>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</si>
  <si>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</si>
  <si>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</si>
  <si>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</si>
  <si>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</si>
  <si>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</si>
  <si>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</si>
  <si>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</si>
  <si>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</si>
  <si>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</si>
  <si>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</si>
  <si>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</si>
  <si>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</si>
  <si>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</si>
  <si>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</si>
  <si>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</si>
  <si>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</si>
  <si>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</si>
  <si>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</si>
  <si>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</si>
  <si>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</si>
  <si>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</si>
  <si>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</si>
  <si>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</si>
  <si>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</si>
  <si>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</si>
  <si>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</si>
  <si>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</si>
  <si>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</si>
  <si>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</si>
  <si>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</si>
  <si>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</si>
  <si>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</si>
  <si>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</si>
  <si>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</si>
  <si>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</si>
  <si>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</si>
  <si>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</si>
  <si>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</si>
  <si>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</si>
  <si>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</si>
  <si>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VA-951</t>
  </si>
  <si>
    <t>VA-952</t>
  </si>
  <si>
    <t>VA-953</t>
  </si>
  <si>
    <t>VA-954</t>
  </si>
  <si>
    <t>VA-955</t>
  </si>
  <si>
    <t>VA-956</t>
  </si>
  <si>
    <t>VA-957</t>
  </si>
  <si>
    <t>CIP_1</t>
  </si>
  <si>
    <t>CIP_1_FLIPS</t>
  </si>
  <si>
    <t>ENV_TQ_MIX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</si>
  <si>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</si>
  <si>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</si>
  <si>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</si>
  <si>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</si>
  <si>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</si>
  <si>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</si>
  <si>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</si>
  <si>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</si>
  <si>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</si>
  <si>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</si>
  <si>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</si>
  <si>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</si>
  <si>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</si>
  <si>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</si>
  <si>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</si>
  <si>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</si>
  <si>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</si>
  <si>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</si>
  <si>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</si>
  <si>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</si>
  <si>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</si>
  <si>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</si>
  <si>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</si>
  <si>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</si>
  <si>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</si>
  <si>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</si>
  <si>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</si>
  <si>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</si>
  <si>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</si>
  <si>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</si>
  <si>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</si>
  <si>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</si>
  <si>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</si>
  <si>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</si>
  <si>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</si>
  <si>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</si>
  <si>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</si>
  <si>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</si>
  <si>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</si>
  <si>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</si>
  <si>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</si>
  <si>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</si>
  <si>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</si>
  <si>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</si>
  <si>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</si>
  <si>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</si>
  <si>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</si>
  <si>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</si>
  <si>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</si>
  <si>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</si>
  <si>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</si>
  <si>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</si>
  <si>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</si>
  <si>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</si>
  <si>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</si>
  <si>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</si>
  <si>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</si>
  <si>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</si>
  <si>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</si>
  <si>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</si>
  <si>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</si>
  <si>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</si>
  <si>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</si>
  <si>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</si>
  <si>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</si>
  <si>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</si>
  <si>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</si>
  <si>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</si>
  <si>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</si>
  <si>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</si>
  <si>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</si>
  <si>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</si>
  <si>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</si>
  <si>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</si>
  <si>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</si>
  <si>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</si>
  <si>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</si>
  <si>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</si>
  <si>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</si>
  <si>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</si>
  <si>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</si>
  <si>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</si>
  <si>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</si>
  <si>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</si>
  <si>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</si>
  <si>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</si>
  <si>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</si>
  <si>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</si>
  <si>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</si>
  <si>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</si>
  <si>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</si>
  <si>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</si>
  <si>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</si>
  <si>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</si>
  <si>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</si>
  <si>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</si>
  <si>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</si>
  <si>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</si>
  <si>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</si>
  <si>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</si>
  <si>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</si>
  <si>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</si>
  <si>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</si>
  <si>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</si>
  <si>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</si>
  <si>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</si>
  <si>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</si>
  <si>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</si>
  <si>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</si>
  <si>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</si>
  <si>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</si>
  <si>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</si>
  <si>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</si>
  <si>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</si>
  <si>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</si>
  <si>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</si>
  <si>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</si>
  <si>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</si>
  <si>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</si>
  <si>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</si>
  <si>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</si>
  <si>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</si>
  <si>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</si>
  <si>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</si>
  <si>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</si>
  <si>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</si>
  <si>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</si>
  <si>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</si>
  <si>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</si>
  <si>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</si>
  <si>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</si>
  <si>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</si>
  <si>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</si>
  <si>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</si>
  <si>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</si>
  <si>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</si>
  <si>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</si>
  <si>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</si>
  <si>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</si>
  <si>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</si>
  <si>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</si>
  <si>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</si>
  <si>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</si>
  <si>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</si>
  <si>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</si>
  <si>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</si>
  <si>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</si>
  <si>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</si>
  <si>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</si>
  <si>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</si>
  <si>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</si>
  <si>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</si>
  <si>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</si>
  <si>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</si>
  <si>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</si>
  <si>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</si>
  <si>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</si>
  <si>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</si>
  <si>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</si>
  <si>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</si>
  <si>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</si>
  <si>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LISTADO DE ETAPAS</t>
  </si>
  <si>
    <t>Valor.Etapa</t>
  </si>
  <si>
    <t>Nombre.Variable</t>
  </si>
  <si>
    <t>ET_100_001</t>
  </si>
  <si>
    <t>ET_100_002</t>
  </si>
  <si>
    <t>ET_100_003</t>
  </si>
  <si>
    <t>ET_100_004</t>
  </si>
  <si>
    <t>ET_100_005</t>
  </si>
  <si>
    <t>ET_100_006</t>
  </si>
  <si>
    <t>ET_100_007</t>
  </si>
  <si>
    <t>ET_100_008</t>
  </si>
  <si>
    <t>ET_100_009</t>
  </si>
  <si>
    <t>ET_100_010</t>
  </si>
  <si>
    <t>ET_100_011</t>
  </si>
  <si>
    <t>ET_100_012</t>
  </si>
  <si>
    <t>ET_100_013</t>
  </si>
  <si>
    <t>ET_100_014</t>
  </si>
  <si>
    <t>ET_100_015</t>
  </si>
  <si>
    <t>ET_110_001</t>
  </si>
  <si>
    <t>ET_110_002</t>
  </si>
  <si>
    <t>ET_110_003</t>
  </si>
  <si>
    <t>ET_110_004</t>
  </si>
  <si>
    <t>ET_110_005</t>
  </si>
  <si>
    <t>ET_110_006</t>
  </si>
  <si>
    <t>ET_110_007</t>
  </si>
  <si>
    <t>ET_110_008</t>
  </si>
  <si>
    <t>ET_110_009</t>
  </si>
  <si>
    <t>ET_110_010</t>
  </si>
  <si>
    <t>ET_500_001</t>
  </si>
  <si>
    <t>ET_500_002</t>
  </si>
  <si>
    <t>ET_500_003</t>
  </si>
  <si>
    <t>ET_500_004</t>
  </si>
  <si>
    <t>ET_500_005</t>
  </si>
  <si>
    <t>ET_500_006</t>
  </si>
  <si>
    <t>ET_500_007</t>
  </si>
  <si>
    <t>ET_500_008</t>
  </si>
  <si>
    <t>ET_500_009</t>
  </si>
  <si>
    <t>ET_500_010</t>
  </si>
  <si>
    <t>ET_500_011</t>
  </si>
  <si>
    <t>ET_500_012</t>
  </si>
  <si>
    <t>ET_500_013</t>
  </si>
  <si>
    <t>ET_500_014</t>
  </si>
  <si>
    <t>ET_500_015</t>
  </si>
  <si>
    <t>ET_500_016</t>
  </si>
  <si>
    <t>ET_500_017</t>
  </si>
  <si>
    <t>ET_500_018</t>
  </si>
  <si>
    <t>ET_500_019</t>
  </si>
  <si>
    <t>ET_500_020</t>
  </si>
  <si>
    <t>ET_500_021</t>
  </si>
  <si>
    <t>ET_500_022</t>
  </si>
  <si>
    <t>ET_500_023</t>
  </si>
  <si>
    <t>ET_500_024</t>
  </si>
  <si>
    <t>ET_500_025</t>
  </si>
  <si>
    <t>ET_500_026</t>
  </si>
  <si>
    <t>ET_500_027</t>
  </si>
  <si>
    <t>ET_500_028</t>
  </si>
  <si>
    <t>ET_500_029</t>
  </si>
  <si>
    <t>ET_500_030</t>
  </si>
  <si>
    <t>ET_500_031</t>
  </si>
  <si>
    <t>ET_500_032</t>
  </si>
  <si>
    <t>ET_500_033</t>
  </si>
  <si>
    <t>ET_500_034</t>
  </si>
  <si>
    <t>ET_500_035</t>
  </si>
  <si>
    <t>UID.Proceso</t>
  </si>
  <si>
    <t>PI_1_021</t>
  </si>
  <si>
    <t>PI_1_022</t>
  </si>
  <si>
    <t>ED_011</t>
  </si>
  <si>
    <t>ED_012</t>
  </si>
  <si>
    <t>ED_013</t>
  </si>
  <si>
    <t>ED_014</t>
  </si>
  <si>
    <t>ED_015</t>
  </si>
  <si>
    <t>ED_016</t>
  </si>
  <si>
    <t>ED_017</t>
  </si>
  <si>
    <t>ED_018</t>
  </si>
  <si>
    <t>ED_019</t>
  </si>
  <si>
    <t>ED_020</t>
  </si>
  <si>
    <t>ED_021</t>
  </si>
  <si>
    <t>ED_022</t>
  </si>
  <si>
    <t>ED_023</t>
  </si>
  <si>
    <t>ED_024</t>
  </si>
  <si>
    <t>ED_025</t>
  </si>
  <si>
    <t>ED_026</t>
  </si>
  <si>
    <t>ED_027</t>
  </si>
  <si>
    <t>ED_028</t>
  </si>
  <si>
    <t>ED_029</t>
  </si>
  <si>
    <t>ED_030</t>
  </si>
  <si>
    <t>ED_031</t>
  </si>
  <si>
    <t>ED_032</t>
  </si>
  <si>
    <t>ED_033</t>
  </si>
  <si>
    <t>ED_034</t>
  </si>
  <si>
    <t>ED_035</t>
  </si>
  <si>
    <t>ED_036</t>
  </si>
  <si>
    <t>ED_037</t>
  </si>
  <si>
    <t>ED_038</t>
  </si>
  <si>
    <t>ED_039</t>
  </si>
  <si>
    <t>ED_040</t>
  </si>
  <si>
    <t>ED_041</t>
  </si>
  <si>
    <t>ED_042</t>
  </si>
  <si>
    <t>ED_043</t>
  </si>
  <si>
    <t>ED_044</t>
  </si>
  <si>
    <t>ED_045</t>
  </si>
  <si>
    <t>ED_046</t>
  </si>
  <si>
    <t>ED_047</t>
  </si>
  <si>
    <t>ED_048</t>
  </si>
  <si>
    <t>ED_049</t>
  </si>
  <si>
    <t>ED_050</t>
  </si>
  <si>
    <t>ED_051</t>
  </si>
  <si>
    <t>ED_052</t>
  </si>
  <si>
    <t>ED_053</t>
  </si>
  <si>
    <t>ED_054</t>
  </si>
  <si>
    <t>ED_055</t>
  </si>
  <si>
    <t>ED_056</t>
  </si>
  <si>
    <t>ED_057</t>
  </si>
  <si>
    <t>ED_058</t>
  </si>
  <si>
    <t>ED_059</t>
  </si>
  <si>
    <t>ED_060</t>
  </si>
  <si>
    <t>ED_061</t>
  </si>
  <si>
    <t>ED_062</t>
  </si>
  <si>
    <t>ED_063</t>
  </si>
  <si>
    <t>ED_064</t>
  </si>
  <si>
    <t>ED_065</t>
  </si>
  <si>
    <t>ED_066</t>
  </si>
  <si>
    <t>ED_067</t>
  </si>
  <si>
    <t>ED_068</t>
  </si>
  <si>
    <t>ED_069</t>
  </si>
  <si>
    <t>ED_070</t>
  </si>
  <si>
    <t>ED_071</t>
  </si>
  <si>
    <t>ED_072</t>
  </si>
  <si>
    <t>ED_073</t>
  </si>
  <si>
    <t>ED_074</t>
  </si>
  <si>
    <t>ED_075</t>
  </si>
  <si>
    <t>ED_076</t>
  </si>
  <si>
    <t>ED_077</t>
  </si>
  <si>
    <t>ED_078</t>
  </si>
  <si>
    <t>ED_079</t>
  </si>
  <si>
    <t>ED_080</t>
  </si>
  <si>
    <t>ED_081</t>
  </si>
  <si>
    <t>ED_082</t>
  </si>
  <si>
    <t>ED_083</t>
  </si>
  <si>
    <t>ED_084</t>
  </si>
  <si>
    <t>ED_085</t>
  </si>
  <si>
    <t>ED_086</t>
  </si>
  <si>
    <t>ED_087</t>
  </si>
  <si>
    <t>ED_088</t>
  </si>
  <si>
    <t>ED_089</t>
  </si>
  <si>
    <t>ED_090</t>
  </si>
  <si>
    <t>ED_091</t>
  </si>
  <si>
    <t>ED_092</t>
  </si>
  <si>
    <t>ED_093</t>
  </si>
  <si>
    <t>ED_094</t>
  </si>
  <si>
    <t>ED_095</t>
  </si>
  <si>
    <t>ED_096</t>
  </si>
  <si>
    <t>ED_097</t>
  </si>
  <si>
    <t>ED_098</t>
  </si>
  <si>
    <t>ED_099</t>
  </si>
  <si>
    <t>ED_100</t>
  </si>
  <si>
    <t>ED_101</t>
  </si>
  <si>
    <t>ED_102</t>
  </si>
  <si>
    <t>ED_103</t>
  </si>
  <si>
    <t>ED_104</t>
  </si>
  <si>
    <t>ED_105</t>
  </si>
  <si>
    <t>ED_106</t>
  </si>
  <si>
    <t>ED_107</t>
  </si>
  <si>
    <t>ED_108</t>
  </si>
  <si>
    <t>ED_109</t>
  </si>
  <si>
    <t>ED_110</t>
  </si>
  <si>
    <t>ED_111</t>
  </si>
  <si>
    <t>ED_112</t>
  </si>
  <si>
    <t>ED_113</t>
  </si>
  <si>
    <t>ED_114</t>
  </si>
  <si>
    <t>ED_115</t>
  </si>
  <si>
    <t>ED_116</t>
  </si>
  <si>
    <t>ED_117</t>
  </si>
  <si>
    <t>ED_118</t>
  </si>
  <si>
    <t>ED_119</t>
  </si>
  <si>
    <t>ED_120</t>
  </si>
  <si>
    <t>ED_121</t>
  </si>
  <si>
    <t>ED_122</t>
  </si>
  <si>
    <t>ED_123</t>
  </si>
  <si>
    <t>ED_124</t>
  </si>
  <si>
    <t>ED_125</t>
  </si>
  <si>
    <t>ED_126</t>
  </si>
  <si>
    <t>ED_127</t>
  </si>
  <si>
    <t>ED_128</t>
  </si>
  <si>
    <t>ED_129</t>
  </si>
  <si>
    <t>ED_130</t>
  </si>
  <si>
    <t>ED_131</t>
  </si>
  <si>
    <t>ED_132</t>
  </si>
  <si>
    <t>ED_133</t>
  </si>
  <si>
    <t>ED_134</t>
  </si>
  <si>
    <t>ED_135</t>
  </si>
  <si>
    <t>ED_136</t>
  </si>
  <si>
    <t>ED_137</t>
  </si>
  <si>
    <t>ED_138</t>
  </si>
  <si>
    <t>ED_139</t>
  </si>
  <si>
    <t>ED_140</t>
  </si>
  <si>
    <t>ED_141</t>
  </si>
  <si>
    <t>ED_142</t>
  </si>
  <si>
    <t>ED_143</t>
  </si>
  <si>
    <t>ED_144</t>
  </si>
  <si>
    <t>ED_145</t>
  </si>
  <si>
    <t>ED_146</t>
  </si>
  <si>
    <t>ED_147</t>
  </si>
  <si>
    <t>ED_148</t>
  </si>
  <si>
    <t>ED_149</t>
  </si>
  <si>
    <t>ED_150</t>
  </si>
  <si>
    <t>ED_151</t>
  </si>
  <si>
    <t>ED_152</t>
  </si>
  <si>
    <t>ED_153</t>
  </si>
  <si>
    <t>ED_154</t>
  </si>
  <si>
    <t>ED_155</t>
  </si>
  <si>
    <t>ED_156</t>
  </si>
  <si>
    <t>ED_157</t>
  </si>
  <si>
    <t>ED_158</t>
  </si>
  <si>
    <t>ED_159</t>
  </si>
  <si>
    <t>ED_160</t>
  </si>
  <si>
    <t>ED_161</t>
  </si>
  <si>
    <t>ED_162</t>
  </si>
  <si>
    <t>ED_163</t>
  </si>
  <si>
    <t>ED_164</t>
  </si>
  <si>
    <t>ED_165</t>
  </si>
  <si>
    <t>ED_166</t>
  </si>
  <si>
    <t>ED_167</t>
  </si>
  <si>
    <t>ED_168</t>
  </si>
  <si>
    <t>ED_169</t>
  </si>
  <si>
    <t>ED_170</t>
  </si>
  <si>
    <t>ED_171</t>
  </si>
  <si>
    <t>ED_172</t>
  </si>
  <si>
    <t>ED_173</t>
  </si>
  <si>
    <t>ED_174</t>
  </si>
  <si>
    <t>ED_175</t>
  </si>
  <si>
    <t>ED_176</t>
  </si>
  <si>
    <t>ED_177</t>
  </si>
  <si>
    <t>ED_178</t>
  </si>
  <si>
    <t>ED_179</t>
  </si>
  <si>
    <t>ED_180</t>
  </si>
  <si>
    <t>ED_181</t>
  </si>
  <si>
    <t>ED_182</t>
  </si>
  <si>
    <t>ED_183</t>
  </si>
  <si>
    <t>ED_184</t>
  </si>
  <si>
    <t>ED_185</t>
  </si>
  <si>
    <t>ED_186</t>
  </si>
  <si>
    <t>ED_187</t>
  </si>
  <si>
    <t>ED_188</t>
  </si>
  <si>
    <t>ED_189</t>
  </si>
  <si>
    <t>ED_190</t>
  </si>
  <si>
    <t>ED_191</t>
  </si>
  <si>
    <t>ED_192</t>
  </si>
  <si>
    <t>ED_193</t>
  </si>
  <si>
    <t>ED_194</t>
  </si>
  <si>
    <t>ED_195</t>
  </si>
  <si>
    <t>ED_196</t>
  </si>
  <si>
    <t>ED_197</t>
  </si>
  <si>
    <t>ED_198</t>
  </si>
  <si>
    <t>ED_199</t>
  </si>
  <si>
    <t>ED_200</t>
  </si>
  <si>
    <t>ED_201</t>
  </si>
  <si>
    <t>ED_202</t>
  </si>
  <si>
    <t>ED_203</t>
  </si>
  <si>
    <t>ED_204</t>
  </si>
  <si>
    <t>ED_205</t>
  </si>
  <si>
    <t>ED_206</t>
  </si>
  <si>
    <t>ED_207</t>
  </si>
  <si>
    <t>ED_208</t>
  </si>
  <si>
    <t>ED_209</t>
  </si>
  <si>
    <t>ED_210</t>
  </si>
  <si>
    <t>ED_211</t>
  </si>
  <si>
    <t>ED_212</t>
  </si>
  <si>
    <t>ED_213</t>
  </si>
  <si>
    <t>ED_214</t>
  </si>
  <si>
    <t>ED_215</t>
  </si>
  <si>
    <t>ED_216</t>
  </si>
  <si>
    <t>ED_217</t>
  </si>
  <si>
    <t>ED_218</t>
  </si>
  <si>
    <t>ED_219</t>
  </si>
  <si>
    <t>ED_220</t>
  </si>
  <si>
    <t>ED_221</t>
  </si>
  <si>
    <t>ED_222</t>
  </si>
  <si>
    <t>ED_223</t>
  </si>
  <si>
    <t>ED_224</t>
  </si>
  <si>
    <t>ED_225</t>
  </si>
  <si>
    <t>ED_226</t>
  </si>
  <si>
    <t>ED_227</t>
  </si>
  <si>
    <t>ED_228</t>
  </si>
  <si>
    <t>ED_229</t>
  </si>
  <si>
    <t>ED_230</t>
  </si>
  <si>
    <t>ED_231</t>
  </si>
  <si>
    <t>ED_232</t>
  </si>
  <si>
    <t>ED_233</t>
  </si>
  <si>
    <t>ED_234</t>
  </si>
  <si>
    <t>ED_235</t>
  </si>
  <si>
    <t>ED_236</t>
  </si>
  <si>
    <t>ED_237</t>
  </si>
  <si>
    <t>ED_238</t>
  </si>
  <si>
    <t>ED_239</t>
  </si>
  <si>
    <t>ED_240</t>
  </si>
  <si>
    <t>ED_241</t>
  </si>
  <si>
    <t>ED_242</t>
  </si>
  <si>
    <t>ED_243</t>
  </si>
  <si>
    <t>ED_244</t>
  </si>
  <si>
    <t>ED_245</t>
  </si>
  <si>
    <t>ED_246</t>
  </si>
  <si>
    <t>ED_247</t>
  </si>
  <si>
    <t>ED_248</t>
  </si>
  <si>
    <t>ED_249</t>
  </si>
  <si>
    <t>ED_250</t>
  </si>
  <si>
    <t>ED_251</t>
  </si>
  <si>
    <t>ED_252</t>
  </si>
  <si>
    <t>ED_253</t>
  </si>
  <si>
    <t>ED_254</t>
  </si>
  <si>
    <t>ED_255</t>
  </si>
  <si>
    <t>ED_256</t>
  </si>
  <si>
    <t>ED_257</t>
  </si>
  <si>
    <t>ED_258</t>
  </si>
  <si>
    <t>ED_259</t>
  </si>
  <si>
    <t>ED_260</t>
  </si>
  <si>
    <t>ED_261</t>
  </si>
  <si>
    <t>ED_262</t>
  </si>
  <si>
    <t>ED_263</t>
  </si>
  <si>
    <t>ED_264</t>
  </si>
  <si>
    <t>ED_265</t>
  </si>
  <si>
    <t>ED_266</t>
  </si>
  <si>
    <t>ED_267</t>
  </si>
  <si>
    <t>ED_268</t>
  </si>
  <si>
    <t>ED_269</t>
  </si>
  <si>
    <t>ED_270</t>
  </si>
  <si>
    <t>ED_271</t>
  </si>
  <si>
    <t>ED_272</t>
  </si>
  <si>
    <t>ED_273</t>
  </si>
  <si>
    <t>ED_274</t>
  </si>
  <si>
    <t>ED_275</t>
  </si>
  <si>
    <t>ED_276</t>
  </si>
  <si>
    <t>ED_277</t>
  </si>
  <si>
    <t>ED_278</t>
  </si>
  <si>
    <t>ED_279</t>
  </si>
  <si>
    <t>ED_280</t>
  </si>
  <si>
    <t>ED_281</t>
  </si>
  <si>
    <t>ED_282</t>
  </si>
  <si>
    <t>ED_283</t>
  </si>
  <si>
    <t>ED_284</t>
  </si>
  <si>
    <t>ED_285</t>
  </si>
  <si>
    <t>ED_286</t>
  </si>
  <si>
    <t>ED_287</t>
  </si>
  <si>
    <t>ED_288</t>
  </si>
  <si>
    <t>ED_289</t>
  </si>
  <si>
    <t>ED_290</t>
  </si>
  <si>
    <t>ED_291</t>
  </si>
  <si>
    <t>ED_292</t>
  </si>
  <si>
    <t>ED_293</t>
  </si>
  <si>
    <t>ED_294</t>
  </si>
  <si>
    <t>ED_295</t>
  </si>
  <si>
    <t>ED_296</t>
  </si>
  <si>
    <t>ED_297</t>
  </si>
  <si>
    <t>ED_298</t>
  </si>
  <si>
    <t>ED_299</t>
  </si>
  <si>
    <t>ED_300</t>
  </si>
  <si>
    <t>ED_301</t>
  </si>
  <si>
    <t>ED_302</t>
  </si>
  <si>
    <t>ED_303</t>
  </si>
  <si>
    <t>ED_304</t>
  </si>
  <si>
    <t>ED_305</t>
  </si>
  <si>
    <t>ED_306</t>
  </si>
  <si>
    <t>ED_307</t>
  </si>
  <si>
    <t>ED_308</t>
  </si>
  <si>
    <t>ED_309</t>
  </si>
  <si>
    <t>ED_310</t>
  </si>
  <si>
    <t>ED_311</t>
  </si>
  <si>
    <t>ED_312</t>
  </si>
  <si>
    <t>ED_313</t>
  </si>
  <si>
    <t>ED_314</t>
  </si>
  <si>
    <t>ED_315</t>
  </si>
  <si>
    <t>ED_316</t>
  </si>
  <si>
    <t>ED_317</t>
  </si>
  <si>
    <t>ED_318</t>
  </si>
  <si>
    <t>ED_319</t>
  </si>
  <si>
    <t>ED_320</t>
  </si>
  <si>
    <t>ED_321</t>
  </si>
  <si>
    <t>ED_322</t>
  </si>
  <si>
    <t>ED_323</t>
  </si>
  <si>
    <t>ED_324</t>
  </si>
  <si>
    <t>ED_325</t>
  </si>
  <si>
    <t>ED_326</t>
  </si>
  <si>
    <t>ED_327</t>
  </si>
  <si>
    <t>ED_328</t>
  </si>
  <si>
    <t>ED_329</t>
  </si>
  <si>
    <t>ED_330</t>
  </si>
  <si>
    <t>ED_331</t>
  </si>
  <si>
    <t>ED_332</t>
  </si>
  <si>
    <t>ED_333</t>
  </si>
  <si>
    <t>ED_334</t>
  </si>
  <si>
    <t>ED_335</t>
  </si>
  <si>
    <t>ED_336</t>
  </si>
  <si>
    <t>ED_337</t>
  </si>
  <si>
    <t>ED_338</t>
  </si>
  <si>
    <t>ED_339</t>
  </si>
  <si>
    <t>ED_340</t>
  </si>
  <si>
    <t>ED_341</t>
  </si>
  <si>
    <t>ED_342</t>
  </si>
  <si>
    <t>ED_343</t>
  </si>
  <si>
    <t>ED_344</t>
  </si>
  <si>
    <t>ED_345</t>
  </si>
  <si>
    <t>ED_346</t>
  </si>
  <si>
    <t>ED_347</t>
  </si>
  <si>
    <t>ED_348</t>
  </si>
  <si>
    <t>ED_349</t>
  </si>
  <si>
    <t>ED_350</t>
  </si>
  <si>
    <t>ED_351</t>
  </si>
  <si>
    <t>ED_352</t>
  </si>
  <si>
    <t>ED_353</t>
  </si>
  <si>
    <t>ED_354</t>
  </si>
  <si>
    <t>ED_355</t>
  </si>
  <si>
    <t>ED_356</t>
  </si>
  <si>
    <t>ED_357</t>
  </si>
  <si>
    <t>ED_358</t>
  </si>
  <si>
    <t>ED_359</t>
  </si>
  <si>
    <t>ED_360</t>
  </si>
  <si>
    <t>ED_361</t>
  </si>
  <si>
    <t>ED_362</t>
  </si>
  <si>
    <t>ED_363</t>
  </si>
  <si>
    <t>ED_364</t>
  </si>
  <si>
    <t>ED_365</t>
  </si>
  <si>
    <t>ED_366</t>
  </si>
  <si>
    <t>ED_367</t>
  </si>
  <si>
    <t>ED_368</t>
  </si>
  <si>
    <t>ED_369</t>
  </si>
  <si>
    <t>ED_370</t>
  </si>
  <si>
    <t>ED_371</t>
  </si>
  <si>
    <t>ED_372</t>
  </si>
  <si>
    <t>ED_373</t>
  </si>
  <si>
    <t>ED_374</t>
  </si>
  <si>
    <t>ED_375</t>
  </si>
  <si>
    <t>ED_376</t>
  </si>
  <si>
    <t>ED_377</t>
  </si>
  <si>
    <t>ED_378</t>
  </si>
  <si>
    <t>ED_379</t>
  </si>
  <si>
    <t>ED_380</t>
  </si>
  <si>
    <t>ED_381</t>
  </si>
  <si>
    <t>ED_382</t>
  </si>
  <si>
    <t>ED_383</t>
  </si>
  <si>
    <t>ED_384</t>
  </si>
  <si>
    <t>ED_385</t>
  </si>
  <si>
    <t>ED_386</t>
  </si>
  <si>
    <t>ED_387</t>
  </si>
  <si>
    <t>ED_388</t>
  </si>
  <si>
    <t>ED_389</t>
  </si>
  <si>
    <t>ED_390</t>
  </si>
  <si>
    <t>ED_391</t>
  </si>
  <si>
    <t>ED_392</t>
  </si>
  <si>
    <t>ED_393</t>
  </si>
  <si>
    <t>ED_394</t>
  </si>
  <si>
    <t>ED_395</t>
  </si>
  <si>
    <t>ED_396</t>
  </si>
  <si>
    <t>ED_397</t>
  </si>
  <si>
    <t>ED_398</t>
  </si>
  <si>
    <t>ED_399</t>
  </si>
  <si>
    <t>ED_400</t>
  </si>
  <si>
    <t>ENTRADA DIGITAL</t>
  </si>
  <si>
    <t>P_REAL</t>
  </si>
  <si>
    <t>P_INT</t>
  </si>
  <si>
    <t>PR_100_049</t>
  </si>
  <si>
    <t>PR_100_050</t>
  </si>
  <si>
    <t>Tiempo maximo de alarma 1</t>
  </si>
  <si>
    <t>Tiempo maximo de alarma 2</t>
  </si>
  <si>
    <t>Tiempo maximo de alarma 3</t>
  </si>
  <si>
    <t>Tiempo maximo de alarma 4</t>
  </si>
  <si>
    <t>Tiempo maximo de alarma 5</t>
  </si>
  <si>
    <t>Tiempo maximo de alarma 6</t>
  </si>
  <si>
    <t>Tiempo maximo de alarma 7</t>
  </si>
  <si>
    <t>Tiempo maximo de alarma 8</t>
  </si>
  <si>
    <t>Tiempo maximo de alarma 9</t>
  </si>
  <si>
    <t>Tiempo maximo de alarma 10</t>
  </si>
  <si>
    <t>Tiempo maximo de alarma 11</t>
  </si>
  <si>
    <t>Tiempo maximo de alarma 12</t>
  </si>
  <si>
    <t>Tiempo maximo de alarma 13</t>
  </si>
  <si>
    <t>Tiempo maximo de alarma 14</t>
  </si>
  <si>
    <t>Tiempo maximo de alarma 15</t>
  </si>
  <si>
    <t>Tiempo maximo de alarma 16</t>
  </si>
  <si>
    <t>Tiempo maximo de alarma 17</t>
  </si>
  <si>
    <t>Proceso en error</t>
  </si>
  <si>
    <t>Alarma 2</t>
  </si>
  <si>
    <t>Alarma 3</t>
  </si>
  <si>
    <t>Alarma 4</t>
  </si>
  <si>
    <t>Alarma 5</t>
  </si>
  <si>
    <t>Alarma 6</t>
  </si>
  <si>
    <t>Alarma 7</t>
  </si>
  <si>
    <t>Alarma 8</t>
  </si>
  <si>
    <t>Alarma 9</t>
  </si>
  <si>
    <t>Alarma 10</t>
  </si>
  <si>
    <t>Alarma 11</t>
  </si>
  <si>
    <t>Alarma 12</t>
  </si>
  <si>
    <t>Alarma 13</t>
  </si>
  <si>
    <t>Alarma 14</t>
  </si>
  <si>
    <t>Alarma 15</t>
  </si>
  <si>
    <t>Alarma 16</t>
  </si>
  <si>
    <t>V_019</t>
  </si>
  <si>
    <t>V_020</t>
  </si>
  <si>
    <t>V_021</t>
  </si>
  <si>
    <t>V_022</t>
  </si>
  <si>
    <t>V_023</t>
  </si>
  <si>
    <t>V_024</t>
  </si>
  <si>
    <t>V_025</t>
  </si>
  <si>
    <t>MOTOR</t>
  </si>
  <si>
    <t>MOTOR VARIADOR</t>
  </si>
  <si>
    <t>LL-016</t>
  </si>
  <si>
    <t>LL-017</t>
  </si>
  <si>
    <t>LL-018</t>
  </si>
  <si>
    <t>LL-019</t>
  </si>
  <si>
    <t>LL-020</t>
  </si>
  <si>
    <t>LL-021</t>
  </si>
  <si>
    <t>LL-022</t>
  </si>
  <si>
    <t>LL-023</t>
  </si>
  <si>
    <t>LL-024</t>
  </si>
  <si>
    <t>LL-025</t>
  </si>
  <si>
    <t>LL-026</t>
  </si>
  <si>
    <t>LL-027</t>
  </si>
  <si>
    <t>LL-028</t>
  </si>
  <si>
    <t>LL-029</t>
  </si>
  <si>
    <t>LL-030</t>
  </si>
  <si>
    <t>Nivel bajo tanque 1011</t>
  </si>
  <si>
    <t>Nivel bajo tanque 1012</t>
  </si>
  <si>
    <t>Nivel bajo tanque 1013</t>
  </si>
  <si>
    <t>Nivel bajo tanque 1014</t>
  </si>
  <si>
    <t>Nivel bajo tanque 1015</t>
  </si>
  <si>
    <t>Nivel bajo tanque 1016</t>
  </si>
  <si>
    <t>Nivel bajo tanque 1017</t>
  </si>
  <si>
    <t>Nivel bajo tanque 1018</t>
  </si>
  <si>
    <t>Nivel bajo tanque 1019</t>
  </si>
  <si>
    <t>Nivel bajo tanque 1020</t>
  </si>
  <si>
    <t>Nivel bajo tanque 1021</t>
  </si>
  <si>
    <t>Nivel bajo tanque 1022</t>
  </si>
  <si>
    <t>Nivel bajo tanque 1023</t>
  </si>
  <si>
    <t>Nivel bajo tanque 1024</t>
  </si>
  <si>
    <t>Nivel bajo tanque 1025</t>
  </si>
  <si>
    <t>Nivel bajo tanque 1026</t>
  </si>
  <si>
    <t>Nivel bajo tanque 1027</t>
  </si>
  <si>
    <t>Nivel bajo tanque 1028</t>
  </si>
  <si>
    <t>Nivel bajo tanque 1029</t>
  </si>
  <si>
    <t>Nivel bajo tanque 1030</t>
  </si>
  <si>
    <t>VA-123</t>
  </si>
  <si>
    <t>VA-124</t>
  </si>
  <si>
    <t>VA-125</t>
  </si>
  <si>
    <t>VA-127</t>
  </si>
  <si>
    <t>VA-128</t>
  </si>
  <si>
    <t>VA-129</t>
  </si>
  <si>
    <t>VA-555</t>
  </si>
  <si>
    <t>Valvula</t>
  </si>
  <si>
    <t>Temperatura de descarga</t>
  </si>
  <si>
    <t>COMPACTO_2</t>
  </si>
  <si>
    <t>PR_150_001</t>
  </si>
  <si>
    <t>PR_150_002</t>
  </si>
  <si>
    <t>PR_150_003</t>
  </si>
  <si>
    <t>PR_150_004</t>
  </si>
  <si>
    <t>PR_150_005</t>
  </si>
  <si>
    <t>PR_150_006</t>
  </si>
  <si>
    <t>PR_150_007</t>
  </si>
  <si>
    <t>PR_150_008</t>
  </si>
  <si>
    <t>PR_150_009</t>
  </si>
  <si>
    <t>PR_150_010</t>
  </si>
  <si>
    <t>PR_150_011</t>
  </si>
  <si>
    <t>PR_150_012</t>
  </si>
  <si>
    <t>PR_150_013</t>
  </si>
  <si>
    <t>PR_150_014</t>
  </si>
  <si>
    <t>PR_150_015</t>
  </si>
  <si>
    <t>PR_150_016</t>
  </si>
  <si>
    <t>PR_150_017</t>
  </si>
  <si>
    <t>PR_150_018</t>
  </si>
  <si>
    <t>PR_150_019</t>
  </si>
  <si>
    <t>PR_150_020</t>
  </si>
  <si>
    <t>PR_150_021</t>
  </si>
  <si>
    <t>PR_150_022</t>
  </si>
  <si>
    <t>PR_150_023</t>
  </si>
  <si>
    <t>PR_150_024</t>
  </si>
  <si>
    <t>PR_150_025</t>
  </si>
  <si>
    <t>PR_150_026</t>
  </si>
  <si>
    <t>PR_150_027</t>
  </si>
  <si>
    <t>PR_150_028</t>
  </si>
  <si>
    <t>PR_150_029</t>
  </si>
  <si>
    <t>PR_150_030</t>
  </si>
  <si>
    <t>PR_150_031</t>
  </si>
  <si>
    <t>PR_150_032</t>
  </si>
  <si>
    <t>PR_150_033</t>
  </si>
  <si>
    <t>PR_150_034</t>
  </si>
  <si>
    <t>PR_150_035</t>
  </si>
  <si>
    <t>PR_150_036</t>
  </si>
  <si>
    <t>PR_150_037</t>
  </si>
  <si>
    <t>PR_150_038</t>
  </si>
  <si>
    <t>PR_150_039</t>
  </si>
  <si>
    <t>PR_150_040</t>
  </si>
  <si>
    <t>PR_150_041</t>
  </si>
  <si>
    <t>PR_150_042</t>
  </si>
  <si>
    <t>PR_150_043</t>
  </si>
  <si>
    <t>PR_150_044</t>
  </si>
  <si>
    <t>PR_150_045</t>
  </si>
  <si>
    <t>PR_150_046</t>
  </si>
  <si>
    <t>PR_150_047</t>
  </si>
  <si>
    <t>PR_150_048</t>
  </si>
  <si>
    <t>PI_150_001</t>
  </si>
  <si>
    <t>PI_150_002</t>
  </si>
  <si>
    <t>PI_150_003</t>
  </si>
  <si>
    <t>PI_150_004</t>
  </si>
  <si>
    <t>PI_150_005</t>
  </si>
  <si>
    <t>PI_150_006</t>
  </si>
  <si>
    <t>PI_150_007</t>
  </si>
  <si>
    <t>PI_150_008</t>
  </si>
  <si>
    <t>PI_150_009</t>
  </si>
  <si>
    <t>PI_150_010</t>
  </si>
  <si>
    <t>PI_150_011</t>
  </si>
  <si>
    <t>PI_150_012</t>
  </si>
  <si>
    <t>PI_150_013</t>
  </si>
  <si>
    <t>PI_150_014</t>
  </si>
  <si>
    <t>PI_150_015</t>
  </si>
  <si>
    <t>PI_150_016</t>
  </si>
  <si>
    <t>PI_150_017</t>
  </si>
  <si>
    <t>PI_150_018</t>
  </si>
  <si>
    <t>PI_150_019</t>
  </si>
  <si>
    <t>PI_150_020</t>
  </si>
  <si>
    <t>PI_150_021</t>
  </si>
  <si>
    <t>PI_150_022</t>
  </si>
  <si>
    <t>PI_150_023</t>
  </si>
  <si>
    <t>PI_150_024</t>
  </si>
  <si>
    <t>PI_150_025</t>
  </si>
  <si>
    <t>PI_150_026</t>
  </si>
  <si>
    <t>PI_150_027</t>
  </si>
  <si>
    <t>PI_150_028</t>
  </si>
  <si>
    <t>PI_150_029</t>
  </si>
  <si>
    <t>PI_150_030</t>
  </si>
  <si>
    <t>PI_150_031</t>
  </si>
  <si>
    <t>PI_150_032</t>
  </si>
  <si>
    <t>PI_150_033</t>
  </si>
  <si>
    <t>PI_150_034</t>
  </si>
  <si>
    <t>PI_150_035</t>
  </si>
  <si>
    <t>PI_150_036</t>
  </si>
  <si>
    <t>PI_150_037</t>
  </si>
  <si>
    <t>PI_150_038</t>
  </si>
  <si>
    <t>AL_150_001</t>
  </si>
  <si>
    <t>AL_150_002</t>
  </si>
  <si>
    <t>AL_150_003</t>
  </si>
  <si>
    <t>AL_150_004</t>
  </si>
  <si>
    <t>AL_150_005</t>
  </si>
  <si>
    <t>AL_150_006</t>
  </si>
  <si>
    <t>AL_150_007</t>
  </si>
  <si>
    <t>AL_150_008</t>
  </si>
  <si>
    <t>AL_150_009</t>
  </si>
  <si>
    <t>AL_150_010</t>
  </si>
  <si>
    <t>AL_150_011</t>
  </si>
  <si>
    <t>AL_150_012</t>
  </si>
  <si>
    <t>AL_150_013</t>
  </si>
  <si>
    <t>AL_150_014</t>
  </si>
  <si>
    <t>AL_150_015</t>
  </si>
  <si>
    <t>AL_150_016</t>
  </si>
  <si>
    <t>ET_150_001</t>
  </si>
  <si>
    <t>ET_150_002</t>
  </si>
  <si>
    <t>ET_150_003</t>
  </si>
  <si>
    <t>ET_150_004</t>
  </si>
  <si>
    <t>ET_150_005</t>
  </si>
  <si>
    <t>ET_150_006</t>
  </si>
  <si>
    <t>ET_150_007</t>
  </si>
  <si>
    <t>ET_150_008</t>
  </si>
  <si>
    <t>ET_150_009</t>
  </si>
  <si>
    <t>ET_150_010</t>
  </si>
  <si>
    <t>ET_150_011</t>
  </si>
  <si>
    <t>ET_150_012</t>
  </si>
  <si>
    <t>ET_150_013</t>
  </si>
  <si>
    <t>ET_150_014</t>
  </si>
  <si>
    <t>ET_150_015</t>
  </si>
  <si>
    <t>ET_150_016</t>
  </si>
  <si>
    <t>ET_150_017</t>
  </si>
  <si>
    <t>ET_150_018</t>
  </si>
  <si>
    <t>ET_150_019</t>
  </si>
  <si>
    <t>ET_150_020</t>
  </si>
  <si>
    <t>ET_150_021</t>
  </si>
  <si>
    <t>ET_150_022</t>
  </si>
  <si>
    <t>ET_150_023</t>
  </si>
  <si>
    <t>ET_150_024</t>
  </si>
  <si>
    <t>ET_150_025</t>
  </si>
  <si>
    <t>ET_150_026</t>
  </si>
  <si>
    <t>ET_150_027</t>
  </si>
  <si>
    <t>ET_150_028</t>
  </si>
  <si>
    <t>ET_150_029</t>
  </si>
  <si>
    <t>ET_150_030</t>
  </si>
  <si>
    <t>Densidad de descarga we</t>
  </si>
  <si>
    <t>Intentos autocebado</t>
  </si>
  <si>
    <t>Tiempo maximo descarga</t>
  </si>
  <si>
    <t>Presion maxima descarga</t>
  </si>
  <si>
    <t>ID_Local</t>
  </si>
  <si>
    <t>HL-155</t>
  </si>
  <si>
    <t>HL-156</t>
  </si>
  <si>
    <t>HL-157</t>
  </si>
  <si>
    <t>HL-158</t>
  </si>
  <si>
    <t>HL-159</t>
  </si>
  <si>
    <t>HL-160</t>
  </si>
  <si>
    <t>HL-161</t>
  </si>
  <si>
    <t>HL-162</t>
  </si>
  <si>
    <t>HL-163</t>
  </si>
  <si>
    <t>HL-164</t>
  </si>
  <si>
    <t>HL-165</t>
  </si>
  <si>
    <t>HL-166</t>
  </si>
  <si>
    <t>HL-167</t>
  </si>
  <si>
    <t>HL-168</t>
  </si>
  <si>
    <t>HL-169</t>
  </si>
  <si>
    <t>Nivel alto t1</t>
  </si>
  <si>
    <t>Nivel alto t2</t>
  </si>
  <si>
    <t>Nivel alto t3</t>
  </si>
  <si>
    <t>Nivel alto t4</t>
  </si>
  <si>
    <t>Nivel alto t5</t>
  </si>
  <si>
    <t>Nivel alto t6</t>
  </si>
  <si>
    <t>Nivel alto t7</t>
  </si>
  <si>
    <t>Nivel alto t8</t>
  </si>
  <si>
    <t>Nivel alto t9</t>
  </si>
  <si>
    <t>Nivel alto t10</t>
  </si>
  <si>
    <t>asdasd</t>
  </si>
  <si>
    <t>Codigo</t>
  </si>
  <si>
    <t>GNR</t>
  </si>
  <si>
    <t>CPR</t>
  </si>
  <si>
    <t>EXP</t>
  </si>
  <si>
    <t>CIP1</t>
  </si>
  <si>
    <t>CIP1_F</t>
  </si>
  <si>
    <t>ENVTQMIX</t>
  </si>
  <si>
    <t>CPR_2</t>
  </si>
  <si>
    <t>PREP_COC2_1</t>
  </si>
  <si>
    <t>PR_1620_001</t>
  </si>
  <si>
    <t>PR_1620_002</t>
  </si>
  <si>
    <t>PR_1620_003</t>
  </si>
  <si>
    <t>PR_1620_004</t>
  </si>
  <si>
    <t>PR_1620_005</t>
  </si>
  <si>
    <t>PR_1620_006</t>
  </si>
  <si>
    <t>PR_1620_007</t>
  </si>
  <si>
    <t>PR_1620_008</t>
  </si>
  <si>
    <t>PR_1620_009</t>
  </si>
  <si>
    <t>PR_1620_010</t>
  </si>
  <si>
    <t>PI_1620_001</t>
  </si>
  <si>
    <t>PI_1620_002</t>
  </si>
  <si>
    <t>PI_1620_003</t>
  </si>
  <si>
    <t>PI_1620_004</t>
  </si>
  <si>
    <t>PI_1620_005</t>
  </si>
  <si>
    <t>PI_1620_006</t>
  </si>
  <si>
    <t>PI_1620_007</t>
  </si>
  <si>
    <t>PI_1620_008</t>
  </si>
  <si>
    <t>PI_1620_009</t>
  </si>
  <si>
    <t>PI_1620_010</t>
  </si>
  <si>
    <t>AL_1620_001</t>
  </si>
  <si>
    <t>AL_1620_002</t>
  </si>
  <si>
    <t>AL_1620_003</t>
  </si>
  <si>
    <t>AL_1620_004</t>
  </si>
  <si>
    <t>AL_1620_005</t>
  </si>
  <si>
    <t>AL_1620_006</t>
  </si>
  <si>
    <t>AL_1620_007</t>
  </si>
  <si>
    <t>AL_1620_008</t>
  </si>
  <si>
    <t>AL_1620_009</t>
  </si>
  <si>
    <t>AL_1620_010</t>
  </si>
  <si>
    <t>AL_1620_011</t>
  </si>
  <si>
    <t>AL_1620_012</t>
  </si>
  <si>
    <t>AL_1620_013</t>
  </si>
  <si>
    <t>AL_1620_014</t>
  </si>
  <si>
    <t>AL_1620_015</t>
  </si>
  <si>
    <t>AL_1620_016</t>
  </si>
  <si>
    <t>Caudal minimo alarma fallo valvula drenaje</t>
  </si>
  <si>
    <t>Tiempo aclarado</t>
  </si>
  <si>
    <t>Tiempo maximo drenaje</t>
  </si>
  <si>
    <t>Tiempo maximo empuje</t>
  </si>
  <si>
    <t>Tiempo alarma fallo caudal valvula empuje</t>
  </si>
  <si>
    <t>Proceso preparacion cocina 1 en error</t>
  </si>
  <si>
    <t>Tiempo maximo recirculacion calentamiento/enfriamiento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</si>
</sst>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4" borderId="38" applyNumberFormat="0" applyAlignment="0" applyProtection="0"/>
  </cellStyleXfs>
  <cellXfs count="276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11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8" fillId="0" borderId="0" xfId="0" applyFont="1" applyAlignment="1">
      <alignment horizontal="left" inden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8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0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9" borderId="4" xfId="0" applyFont="1" applyFill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4" xfId="0" applyFill="1" applyBorder="1" applyAlignment="1">
      <alignment horizontal="left" vertical="center" indent="1"/>
    </xf>
    <xf numFmtId="0" fontId="0" fillId="6" borderId="24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0" fillId="8" borderId="4" xfId="0" applyFill="1" applyBorder="1" applyAlignment="1">
      <alignment horizontal="left" vertical="center" indent="1"/>
    </xf>
    <xf numFmtId="0" fontId="0" fillId="8" borderId="24" xfId="0" applyFill="1" applyBorder="1" applyAlignment="1">
      <alignment horizontal="left" vertical="center" indent="1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35" fillId="8" borderId="0" xfId="0" applyFont="1" applyFill="1" applyAlignment="1">
      <alignment horizontal="left" vertical="center" inden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8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1" borderId="4" xfId="0" applyFont="1" applyFill="1" applyBorder="1" applyAlignment="1">
      <alignment horizontal="left" vertical="center" indent="1"/>
    </xf>
    <xf numFmtId="0" fontId="0" fillId="8" borderId="34" xfId="0" applyFill="1" applyBorder="1" applyAlignment="1">
      <alignment horizontal="center" vertical="center"/>
    </xf>
    <xf numFmtId="0" fontId="0" fillId="13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39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8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0" xfId="4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8" fillId="15" borderId="0" xfId="0" applyFont="1" applyFill="1" applyAlignment="1">
      <alignment horizontal="center" vertical="center"/>
    </xf>
    <xf numFmtId="0" fontId="43" fillId="0" borderId="41" xfId="4" applyNumberFormat="1" applyFont="1" applyFill="1" applyBorder="1" applyAlignment="1">
      <alignment horizontal="left" vertical="center" indent="1"/>
    </xf>
    <xf numFmtId="0" fontId="38" fillId="0" borderId="38" xfId="4" applyFont="1" applyFill="1" applyAlignment="1">
      <alignment horizontal="center" vertical="center"/>
    </xf>
    <xf numFmtId="0" fontId="44" fillId="0" borderId="38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3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0" xfId="4" applyFont="1" applyFill="1" applyBorder="1" applyAlignment="1">
      <alignment horizontal="center" vertical="center"/>
    </xf>
    <xf numFmtId="0" fontId="44" fillId="0" borderId="38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3" borderId="42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5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43" fillId="0" borderId="4" xfId="4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/>
    </xf>
    <xf numFmtId="0" fontId="18" fillId="22" borderId="0" xfId="0" applyFont="1" applyFill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7" fillId="0" borderId="0" xfId="0" applyFont="1" applyAlignment="1">
      <alignment horizontal="center" wrapText="1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4" fillId="2" borderId="15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2"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F8CBAD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1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1438275</xdr:colOff>
          <xdr:row>20</xdr:row>
          <xdr:rowOff>28575</xdr:rowOff>
        </xdr:from>
        <xdr:to>
          <xdr:col>8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7</xdr:row>
          <xdr:rowOff>161925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1114425</xdr:colOff>
          <xdr:row>20</xdr:row>
          <xdr:rowOff>28575</xdr:rowOff>
        </xdr:from>
        <xdr:to>
          <xdr:col>7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2178423</xdr:colOff>
      <xdr:row>0</xdr:row>
      <xdr:rowOff>0</xdr:rowOff>
    </xdr:from>
    <xdr:to>
      <xdr:col>11</xdr:col>
      <xdr:colOff>316263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21E15F0-E19F-454C-A9D0-511DB87E6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6023" y="0"/>
          <a:ext cx="1843065" cy="81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11</xdr:col>
      <xdr:colOff>166105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7</xdr:col>
      <xdr:colOff>4043901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2476501</xdr:colOff>
      <xdr:row>0</xdr:row>
      <xdr:rowOff>0</xdr:rowOff>
    </xdr:from>
    <xdr:to>
      <xdr:col>14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2487706</xdr:colOff>
      <xdr:row>0</xdr:row>
      <xdr:rowOff>0</xdr:rowOff>
    </xdr:from>
    <xdr:to>
      <xdr:col>19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I31" totalsRowShown="0" headerRowDxfId="207" dataDxfId="206">
  <autoFilter ref="C23:I31" xr:uid="{ABC453A1-8D33-4A7F-801D-0EDE8FC72C61}"/>
  <sortState xmlns:xlrd2="http://schemas.microsoft.com/office/spreadsheetml/2017/richdata2" ref="C24:I29">
    <sortCondition ref="C23:C29"/>
  </sortState>
  <tableColumns count="7">
    <tableColumn id="1" xr3:uid="{E371A081-8C0D-455E-B10F-19A62F66EABD}" name="UID" dataDxfId="205"/>
    <tableColumn id="2" xr3:uid="{371785EF-0706-4AC8-91E9-4652167BCD2E}" name="Nombre" dataDxfId="204"/>
    <tableColumn id="4" xr3:uid="{2E4E48B7-3A89-4F57-BF35-0AD111140E07}" name="Codigo" dataDxfId="203"/>
    <tableColumn id="3" xr3:uid="{4F1E5E7B-63B7-452F-B93B-0F595A4355F2}" name="Num.Etapas" dataDxfId="202"/>
    <tableColumn id="7" xr3:uid="{3FB405E6-BF40-4617-8B23-F9E8C656CCE9}" name="PReal" dataDxfId="201"/>
    <tableColumn id="8" xr3:uid="{E53B8738-F94B-4031-B058-24F6017FA12A}" name="PInt" dataDxfId="200"/>
    <tableColumn id="9" xr3:uid="{1E9777CA-6B5A-4C42-B6C3-30288469BFAE}" name="Alarmas" dataDxfId="199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198" dataDxfId="197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196" dataCellStyle="Salida"/>
    <tableColumn id="2" xr3:uid="{6E135463-EAC0-4E76-B0D2-E708BEF96F10}" name="Tipo_Equipo" dataDxfId="195" dataCellStyle="Salida"/>
    <tableColumn id="3" xr3:uid="{EE63FC43-A13F-4DE2-BB19-1EF313F02037}" name="Direccion_IP" dataDxfId="194"/>
    <tableColumn id="4" xr3:uid="{87EF944C-E85F-4569-80D5-EE71DAA09B38}" name="Subred" dataDxfId="193" dataCellStyle="Salida"/>
    <tableColumn id="8" xr3:uid="{55BFA9E6-5C13-4E19-AC97-FE62C15BC39D}" name="Rack_Slot" dataDxfId="192" dataCellStyle="Salida"/>
    <tableColumn id="6" xr3:uid="{B54277E4-8150-4C1A-ACBC-1D0648DDE5C8}" name="Cuadro" dataDxfId="191" dataCellStyle="Salida"/>
    <tableColumn id="7" xr3:uid="{5795D00A-6924-4263-A021-9D2D3BEB28F2}" name="Descripcion" dataDxfId="190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12" totalsRowShown="0" headerRowDxfId="189" dataDxfId="187" headerRowBorderDxfId="188" tableBorderDxfId="186">
  <autoFilter ref="K11:P12" xr:uid="{98A19C76-3622-41CE-ABF4-0BEC5E5A1273}"/>
  <tableColumns count="6">
    <tableColumn id="1" xr3:uid="{CA10E95A-45F2-40F6-BE71-7472DEEBAC10}" name="Equipo_Origen" dataDxfId="185"/>
    <tableColumn id="2" xr3:uid="{350385A7-F4AF-46DF-BAF3-F2E3CA4F6661}" name="Equipo_Destino" dataDxfId="184"/>
    <tableColumn id="3" xr3:uid="{1CEC6C8B-6AAA-47D0-82F6-2DD130F8527C}" name="Protocolo" dataDxfId="183"/>
    <tableColumn id="4" xr3:uid="{2246594E-3319-43E1-BE90-E24931A269C5}" name="Nombre_Conexion_TIA" dataDxfId="182"/>
    <tableColumn id="5" xr3:uid="{CEA70066-E777-45B4-8B9B-CE8528342C5C}" name="ID_Local" dataDxfId="181"/>
    <tableColumn id="6" xr3:uid="{AE043A54-3079-4031-BC9B-BEA34DFC7253}" name="Puerto_Local" dataDxfId="180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2FCFB5-D9A5-4AC3-9E67-8AACA624E17E}" name="Tabla_Etapas" displayName="Tabla_Etapas" ref="C9:K99" totalsRowShown="0" headerRowDxfId="178" dataDxfId="177">
  <autoFilter ref="C9:K99" xr:uid="{D537C491-434E-4790-9B88-58164AED5A23}"/>
  <sortState xmlns:xlrd2="http://schemas.microsoft.com/office/spreadsheetml/2017/richdata2" ref="C10:K99">
    <sortCondition ref="C10:C99"/>
  </sortState>
  <tableColumns count="9">
    <tableColumn id="1" xr3:uid="{D2AC1DF1-F2D6-4CBC-9C0F-8D7AE3807A92}" name="UID" dataDxfId="176" dataCellStyle="Salida"/>
    <tableColumn id="9" xr3:uid="{E3A5C6E5-CA04-4291-AF65-34CFCBBAB3C3}" name="UID.Proceso" dataDxfId="175" dataCellStyle="Salida"/>
    <tableColumn id="2" xr3:uid="{6886CF08-8EC6-44A5-B75A-1493959428AC}" name="Numero" dataDxfId="174" dataCellStyle="Salida"/>
    <tableColumn id="3" xr3:uid="{399C063B-1DB5-4597-80DF-60CDCEBF3071}" name="Proceso" dataDxfId="173"/>
    <tableColumn id="8" xr3:uid="{55D52710-ABFA-43BA-953F-905D96DB9AF1}" name="Valor.Etapa" dataDxfId="172" dataCellStyle="Salida"/>
    <tableColumn id="6" xr3:uid="{14424148-1C05-42C0-8A82-DE3775F8EC58}" name="Descripcion" dataDxfId="171"/>
    <tableColumn id="7" xr3:uid="{BDB6034B-CA9A-4EA6-A244-8C1CB06DEBE5}" name="Nombre.Variable" dataDxfId="170"/>
    <tableColumn id="4" xr3:uid="{80858A0E-0435-4D96-A304-9A3FFFC2E99B}" name="CP.Tag" dataDxfId="169" dataCellStyle="Salida">
      <calculatedColumnFormula>Tabla_Etapas[[#This Row],[UID.Proceso]]&amp;"_ETAPA_"&amp;Tabla_Etapas[[#This Row],[Valor.Etapa]]</calculatedColumnFormula>
    </tableColumn>
    <tableColumn id="5" xr3:uid="{78448BD2-A77D-40DA-8A30-0239D33F71D1}" name="CP.Comentario" dataDxfId="168">
      <calculatedColumnFormula>"ETAPA " &amp; Tabla_Etapas[[#This Row],[Valor.Etapa]] &amp; " - "  &amp; Tabla_Etapas[[#This Row],[Descripcion]]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527" totalsRowShown="0" headerRowDxfId="165" dataDxfId="164">
  <autoFilter ref="C9:K527" xr:uid="{D537C491-434E-4790-9B88-58164AED5A23}"/>
  <sortState xmlns:xlrd2="http://schemas.microsoft.com/office/spreadsheetml/2017/richdata2" ref="C10:K527">
    <sortCondition ref="F10:F527"/>
    <sortCondition ref="C10:C527"/>
  </sortState>
  <tableColumns count="9">
    <tableColumn id="1" xr3:uid="{41E3669E-34F7-4813-9428-DBDF102F6458}" name="UID" dataDxfId="163" dataCellStyle="Salida"/>
    <tableColumn id="2" xr3:uid="{C6D8521A-D4B5-4D60-A39C-A7268C929B54}" name="Numero" dataDxfId="162" dataCellStyle="Salida"/>
    <tableColumn id="3" xr3:uid="{7B00B81F-35A0-407E-8DF6-00300F1FDDEC}" name="Proceso" dataDxfId="161"/>
    <tableColumn id="4" xr3:uid="{78B3095A-C442-4D43-AD6C-E9A4C37490E6}" name="Num.DB" dataDxfId="160" dataCellStyle="Salida"/>
    <tableColumn id="8" xr3:uid="{14915939-0927-4770-855C-F8B3EA7AC9ED}" name="Producto" dataDxfId="159" dataCellStyle="Salida"/>
    <tableColumn id="6" xr3:uid="{13614D03-359A-43D8-B85D-B272C8CE136F}" name="Tipo" dataDxfId="158"/>
    <tableColumn id="7" xr3:uid="{24BABD84-3DA5-45BF-A2D7-0942E39B04CC}" name="Descripcion" dataDxfId="157"/>
    <tableColumn id="5" xr3:uid="{EB70A232-6AE4-42AF-A4C7-7B14D4E185D9}" name="ComentarioDB" dataDxfId="156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155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184" totalsRowShown="0" headerRowDxfId="218" dataDxfId="217">
  <autoFilter ref="C9:K184" xr:uid="{D537C491-434E-4790-9B88-58164AED5A23}"/>
  <sortState xmlns:xlrd2="http://schemas.microsoft.com/office/spreadsheetml/2017/richdata2" ref="C10:K184">
    <sortCondition ref="F10:F184"/>
    <sortCondition ref="C10:C184"/>
  </sortState>
  <tableColumns count="9">
    <tableColumn id="1" xr3:uid="{2BF8CB4B-A9FB-4A71-8930-C3131233E64C}" name="UID" dataDxfId="216" dataCellStyle="Salida"/>
    <tableColumn id="2" xr3:uid="{FA6A1610-1932-4EFB-9A79-92039FF11CDB}" name="Numero" dataDxfId="215" dataCellStyle="Salida"/>
    <tableColumn id="3" xr3:uid="{07D0105B-198F-4E59-B3A6-DF8EDE95E9D0}" name="Proceso" dataDxfId="214"/>
    <tableColumn id="4" xr3:uid="{FB9C563D-36E4-4185-92CF-891B12225C02}" name="Num.DB" dataDxfId="213" dataCellStyle="Salida"/>
    <tableColumn id="8" xr3:uid="{D2E51863-DE82-46DA-9378-09DF18C363D2}" name="Producto" dataDxfId="212" dataCellStyle="Salida"/>
    <tableColumn id="6" xr3:uid="{117F81A6-207D-49E0-B874-FE8CC3CD414A}" name="Tipo" dataDxfId="211"/>
    <tableColumn id="7" xr3:uid="{79CDFEC3-9649-4A79-9B5D-966886F1C890}" name="Descripcion" dataDxfId="210"/>
    <tableColumn id="5" xr3:uid="{4FB04C98-762D-4F5A-AE21-85B48D3C937F}" name="ComentarioDB" dataDxfId="209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208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53" totalsRowShown="0" headerRowDxfId="153" dataDxfId="152">
  <autoFilter ref="C9:H153" xr:uid="{D537C491-434E-4790-9B88-58164AED5A23}"/>
  <sortState xmlns:xlrd2="http://schemas.microsoft.com/office/spreadsheetml/2017/richdata2" ref="C10:H153">
    <sortCondition ref="F10:F153"/>
    <sortCondition ref="C10:C153"/>
  </sortState>
  <tableColumns count="6">
    <tableColumn id="1" xr3:uid="{8C1D44A8-F6D7-48B8-A79B-7C98C51F4B6F}" name="UID" dataDxfId="151" dataCellStyle="Salida"/>
    <tableColumn id="2" xr3:uid="{74E62EEB-57A1-4166-9D7F-9E7AFEC035F6}" name="Numero" dataDxfId="150" dataCellStyle="Salida"/>
    <tableColumn id="3" xr3:uid="{6960A32A-83A3-494C-A178-8AD53344EA83}" name="Proceso" dataDxfId="149"/>
    <tableColumn id="4" xr3:uid="{CA442F77-7851-4FEE-A575-D8FAB26180E1}" name="Num.DB" dataDxfId="148" dataCellStyle="Salida"/>
    <tableColumn id="7" xr3:uid="{8BB96D46-505B-45F3-80CB-DAE042AE1F5E}" name="Descripcion" dataDxfId="147"/>
    <tableColumn id="5" xr3:uid="{795872D8-E2EA-47B9-85AA-EFA7C1CF086B}" name="ComentarioDB" dataDxfId="146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N40" totalsRowShown="0" headerRowDxfId="143" dataDxfId="142">
  <autoFilter ref="C10:N40" xr:uid="{D537C491-434E-4790-9B88-58164AED5A23}"/>
  <sortState xmlns:xlrd2="http://schemas.microsoft.com/office/spreadsheetml/2017/richdata2" ref="C11:N40">
    <sortCondition ref="C11:C40"/>
  </sortState>
  <tableColumns count="12">
    <tableColumn id="1" xr3:uid="{1EE629B1-A460-446C-8C55-299B180759CD}" name="UID" dataDxfId="141" dataCellStyle="Salida"/>
    <tableColumn id="2" xr3:uid="{436E05C2-208C-494C-B34E-FE4AFDA8B867}" name="Numero" dataDxfId="140" dataCellStyle="Salida"/>
    <tableColumn id="3" xr3:uid="{562DB33F-7D27-47E4-9D96-AFB2A00BD2C3}" name="Tag" dataDxfId="139"/>
    <tableColumn id="16" xr3:uid="{38B143B8-A3D9-4E1A-976F-EDBDA753D1AD}" name="Descripcion" dataDxfId="138"/>
    <tableColumn id="17" xr3:uid="{210D5A11-A6FD-40B0-8995-01BD71AC8794}" name="FAT" dataDxfId="137"/>
    <tableColumn id="4" xr3:uid="{13DF2EF0-D309-4B7B-B2EB-279C3BEBE126}" name="E.Byte" dataDxfId="136" dataCellStyle="Salida"/>
    <tableColumn id="14" xr3:uid="{FE2BC951-2AFB-4027-8E61-C32D651F0748}" name="E.Bit" dataDxfId="135" dataCellStyle="Salida"/>
    <tableColumn id="11" xr3:uid="{599B939A-B293-4BE9-B505-89463EDED027}" name="Gr.Alarma" dataDxfId="134" dataCellStyle="Salida"/>
    <tableColumn id="8" xr3:uid="{71AA7141-CE35-44DE-ABE4-BE97C2B6127F}" name="Cuadro" dataDxfId="133" dataCellStyle="Salida"/>
    <tableColumn id="5" xr3:uid="{54630B11-1FEC-459E-8074-6D040940D25A}" name="Observaciones" dataDxfId="132" dataCellStyle="Salida"/>
    <tableColumn id="18" xr3:uid="{C345F478-DDE2-4BF9-B4D8-BE455E66CD4D}" name="CP.Tag" dataDxfId="131" dataCellStyle="Salida">
      <calculatedColumnFormula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calculatedColumnFormula>
    </tableColumn>
    <tableColumn id="21" xr3:uid="{251E5D08-45C4-4384-875C-ED6072026C00}" name="CP.Comentario" dataDxfId="130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P30" totalsRowShown="0" headerRowDxfId="127" dataDxfId="126">
  <autoFilter ref="C10:P30" xr:uid="{D537C491-434E-4790-9B88-58164AED5A23}"/>
  <sortState xmlns:xlrd2="http://schemas.microsoft.com/office/spreadsheetml/2017/richdata2" ref="C11:P30">
    <sortCondition ref="C11:C30"/>
  </sortState>
  <tableColumns count="14">
    <tableColumn id="1" xr3:uid="{880FDBC3-3F74-4951-8134-B7F44E89D07A}" name="UID" dataDxfId="125" dataCellStyle="Salida"/>
    <tableColumn id="2" xr3:uid="{222EE8CF-7267-45D0-B68E-F4B7A7A18F4F}" name="Numero" dataDxfId="124" dataCellStyle="Salida"/>
    <tableColumn id="3" xr3:uid="{153F6875-78A1-49FA-A279-10C550EBB70A}" name="Tag" dataDxfId="123"/>
    <tableColumn id="16" xr3:uid="{2EBED8F2-E489-4C47-BC02-7624F465CE5E}" name="Descripcion" dataDxfId="122"/>
    <tableColumn id="17" xr3:uid="{7A5CF416-FD54-4001-98C5-562D432A12A3}" name="FAT" dataDxfId="121"/>
    <tableColumn id="4" xr3:uid="{D891307D-9EC1-4980-AC71-951B53E1D5CB}" name="E.Byte" dataDxfId="120" dataCellStyle="Salida"/>
    <tableColumn id="10" xr3:uid="{20720E6A-3912-4B4F-BC21-24134F5F2437}" name="UNIDADES" dataDxfId="119" dataCellStyle="Salida"/>
    <tableColumn id="9" xr3:uid="{B27D3856-DAB9-4B3F-AC69-86A92E4FAED6}" name="RII" dataDxfId="118" dataCellStyle="Salida"/>
    <tableColumn id="7" xr3:uid="{EAEA1871-3AC6-4BB0-A3AF-3351563A9E79}" name="RSI" dataDxfId="117" dataCellStyle="Salida"/>
    <tableColumn id="11" xr3:uid="{7D1F3B25-E3C9-46F5-8B50-170C75D8F556}" name="Gr.Alarma" dataDxfId="116" dataCellStyle="Salida"/>
    <tableColumn id="8" xr3:uid="{04CCE3EC-220C-41CE-9D66-EB9950D30F99}" name="Cuadro" dataDxfId="115" dataCellStyle="Salida"/>
    <tableColumn id="5" xr3:uid="{080DAE7A-6AB3-4C76-9AD7-A78590312314}" name="Observaciones" dataDxfId="114" dataCellStyle="Salida"/>
    <tableColumn id="18" xr3:uid="{45AEEEA4-161B-4868-85BD-61C3FCF5899E}" name="CP.Tag" dataDxfId="113" dataCellStyle="Salida">
      <calculatedColumnFormula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calculatedColumnFormula>
    </tableColumn>
    <tableColumn id="21" xr3:uid="{A6D9CAEA-E674-43FD-9A4B-C35A75BF321A}" name="CP.Comentario" dataDxfId="112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P25" totalsRowShown="0" headerRowDxfId="109" dataDxfId="108">
  <autoFilter ref="C10:P25" xr:uid="{D537C491-434E-4790-9B88-58164AED5A23}"/>
  <sortState xmlns:xlrd2="http://schemas.microsoft.com/office/spreadsheetml/2017/richdata2" ref="C11:P25">
    <sortCondition ref="C11:C25"/>
  </sortState>
  <tableColumns count="14">
    <tableColumn id="1" xr3:uid="{6DB2733F-2C16-40B0-A5ED-2BF3DB97A376}" name="UID" dataDxfId="107" dataCellStyle="Salida"/>
    <tableColumn id="2" xr3:uid="{2C6EDBAF-E1AE-4D4B-9D7D-152A06EAB837}" name="Numero" dataDxfId="106" dataCellStyle="Salida"/>
    <tableColumn id="3" xr3:uid="{9FD00148-AF5A-4902-BEB5-25154D2104F4}" name="Tag" dataDxfId="105"/>
    <tableColumn id="16" xr3:uid="{65F86B13-F317-4666-AFFF-287587C11370}" name="Descripcion" dataDxfId="104"/>
    <tableColumn id="17" xr3:uid="{9FF2C3A0-02BC-4A3A-8CFE-A207CBD04911}" name="FAT" dataDxfId="103"/>
    <tableColumn id="4" xr3:uid="{99E3FB74-6B30-40C1-96E5-7A983274977F}" name="S.Byte" dataDxfId="102" dataCellStyle="Salida"/>
    <tableColumn id="10" xr3:uid="{8FBC0122-FA7D-41B7-AA1D-DF8094529140}" name="UNIDADES" dataDxfId="101" dataCellStyle="Salida"/>
    <tableColumn id="9" xr3:uid="{97F848CE-B4F5-440B-AEA2-919CD52EF9ED}" name="RII" dataDxfId="100" dataCellStyle="Salida"/>
    <tableColumn id="7" xr3:uid="{57503C14-F9B0-41CD-86C9-C967D259687A}" name="RSI" dataDxfId="99" dataCellStyle="Salida"/>
    <tableColumn id="11" xr3:uid="{B855E7F9-1EEA-4280-9D32-2C67CD387D85}" name="Gr.Alarma" dataDxfId="98" dataCellStyle="Salida"/>
    <tableColumn id="8" xr3:uid="{C691ACAF-A2C7-4358-A14F-9F7B169F7541}" name="Cuadro" dataDxfId="97" dataCellStyle="Salida"/>
    <tableColumn id="5" xr3:uid="{901B5A8B-6B26-4801-A402-A1C2F01EEA0A}" name="Observaciones" dataDxfId="96" dataCellStyle="Salida"/>
    <tableColumn id="18" xr3:uid="{894D94F4-6AAE-4410-BCEA-A61C6434F863}" name="CP.Tag" dataDxfId="95" dataCellStyle="Salida">
      <calculatedColumnFormula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calculatedColumnFormula>
    </tableColumn>
    <tableColumn id="21" xr3:uid="{2AB9B3A2-0AAE-41C1-AD7D-C7B289E04324}" name="CP.Comentario" dataDxfId="94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R35" totalsRowShown="0" headerRowDxfId="91" dataDxfId="90">
  <autoFilter ref="C10:R35" xr:uid="{D537C491-434E-4790-9B88-58164AED5A23}"/>
  <sortState xmlns:xlrd2="http://schemas.microsoft.com/office/spreadsheetml/2017/richdata2" ref="C11:R35">
    <sortCondition ref="C11:C35"/>
  </sortState>
  <tableColumns count="16">
    <tableColumn id="1" xr3:uid="{FB863949-A549-407A-9AEE-00C4ED2C5646}" name="UID" dataDxfId="89" dataCellStyle="Salida"/>
    <tableColumn id="2" xr3:uid="{CCADF9F3-00A7-4009-AEB9-A3DB2F9A7E66}" name="Numero" dataDxfId="88" dataCellStyle="Salida"/>
    <tableColumn id="3" xr3:uid="{1C1DCB23-6DF0-4FE5-A5F8-3F3697E8E512}" name="Tag" dataDxfId="87"/>
    <tableColumn id="16" xr3:uid="{6C794F1C-32A1-4935-B829-F244EB992A0D}" name="Descripcion" dataDxfId="86"/>
    <tableColumn id="17" xr3:uid="{A5BDFB17-AAB0-4E0D-A881-D8AF5AA8D069}" name="FAT" dataDxfId="85"/>
    <tableColumn id="4" xr3:uid="{C454961E-07A3-4C55-B04C-D5EC043AA780}" name="S.Byte" dataDxfId="84" dataCellStyle="Salida"/>
    <tableColumn id="14" xr3:uid="{ABC29BD2-F129-4252-8ED0-B10F06F9EA2C}" name="S.Bit" dataDxfId="83" dataCellStyle="Salida"/>
    <tableColumn id="15" xr3:uid="{6C40AD12-842B-481F-94AA-3C159233BBEC}" name="RR.Byte" dataDxfId="82" dataCellStyle="Salida"/>
    <tableColumn id="12" xr3:uid="{45A9A6B8-C1B5-4D74-909D-D71E5E462A6A}" name="RR.Bit" dataDxfId="81" dataCellStyle="Salida"/>
    <tableColumn id="13" xr3:uid="{5535566B-9A19-4D4F-857D-94034B3B2853}" name="RT.Byte" dataDxfId="80" dataCellStyle="Salida"/>
    <tableColumn id="10" xr3:uid="{45A7C928-E32F-4F7C-82A7-564309990383}" name="RT.Bit" dataDxfId="79" dataCellStyle="Salida"/>
    <tableColumn id="11" xr3:uid="{A62F03FF-5420-4AD8-B3FC-FF4F72CF42E7}" name="Gr.Alarma" dataDxfId="78" dataCellStyle="Salida"/>
    <tableColumn id="8" xr3:uid="{E97A19D7-1CF0-4E16-8C72-CC40E0A197F6}" name="Cuadro" dataDxfId="77" dataCellStyle="Salida"/>
    <tableColumn id="5" xr3:uid="{7F946185-2CC2-4D68-B5FD-89372BDC8FFD}" name="Observaciones" dataDxfId="76" dataCellStyle="Salida"/>
    <tableColumn id="18" xr3:uid="{D461F4CE-E80B-40E0-B4EF-DE5445B6BB70}" name="CP.Tag" dataDxfId="75" dataCellStyle="Salida">
      <calculatedColumnFormula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calculatedColumnFormula>
    </tableColumn>
    <tableColumn id="21" xr3:uid="{913FA4B3-E983-4EEA-B92F-6E0A46716E2F}" name="CP.Comentario" dataDxfId="74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R20" totalsRowShown="0" headerRowDxfId="71" dataDxfId="70">
  <autoFilter ref="C10:R20" xr:uid="{D537C491-434E-4790-9B88-58164AED5A23}"/>
  <sortState xmlns:xlrd2="http://schemas.microsoft.com/office/spreadsheetml/2017/richdata2" ref="C11:R20">
    <sortCondition ref="C11:C20"/>
  </sortState>
  <tableColumns count="16">
    <tableColumn id="1" xr3:uid="{E90F9654-DFF4-42CD-92D1-412F96155B1C}" name="UID" dataDxfId="69" dataCellStyle="Salida"/>
    <tableColumn id="2" xr3:uid="{6AE07631-76AF-410D-9C5F-F4E56EB6ECCF}" name="Numero" dataDxfId="68" dataCellStyle="Salida"/>
    <tableColumn id="3" xr3:uid="{3A3F1570-7FF3-4761-BF6F-F04CBB76EB32}" name="Tag" dataDxfId="67"/>
    <tableColumn id="16" xr3:uid="{A41F9A36-CAF2-4BED-8FE1-37C30BCB6B3F}" name="Descripcion" dataDxfId="66"/>
    <tableColumn id="17" xr3:uid="{F0F83138-1381-43C0-9785-28C19A9E9349}" name="FAT" dataDxfId="65"/>
    <tableColumn id="4" xr3:uid="{46D9C0D0-5AB6-4276-8D79-16300B95097E}" name="S.Byte" dataDxfId="64" dataCellStyle="Salida"/>
    <tableColumn id="14" xr3:uid="{6C09B17A-E135-49B5-9213-543AF446C526}" name="S.Bit" dataDxfId="63" dataCellStyle="Salida"/>
    <tableColumn id="15" xr3:uid="{C227E24F-8BF4-40B6-94E1-45966BE8E7F0}" name="RT.Byte" dataDxfId="62" dataCellStyle="Salida"/>
    <tableColumn id="12" xr3:uid="{AA183C59-CD44-45B6-BA5E-9AD4D3A78CE8}" name="RT.Bit" dataDxfId="61" dataCellStyle="Salida"/>
    <tableColumn id="13" xr3:uid="{F8A8D9B7-ADA4-4B58-910D-4442E37DB117}" name="RM.Byte" dataDxfId="60" dataCellStyle="Salida"/>
    <tableColumn id="10" xr3:uid="{71501366-E45A-43F5-88EF-2470DD2FE07F}" name="RM.Bit" dataDxfId="59" dataCellStyle="Salida"/>
    <tableColumn id="11" xr3:uid="{4D0FBFD6-FB1F-4E2C-BFAB-A32882B4F0CD}" name="Gr.Alarma" dataDxfId="58" dataCellStyle="Salida"/>
    <tableColumn id="8" xr3:uid="{526A2108-B4D6-4F38-B929-E82F42E5132F}" name="Cuadro" dataDxfId="57" dataCellStyle="Salida"/>
    <tableColumn id="5" xr3:uid="{1C557EDA-CD13-44EF-AC9D-F8FA13E2DC42}" name="Observaciones" dataDxfId="56" dataCellStyle="Salida"/>
    <tableColumn id="18" xr3:uid="{308443D8-A267-46F7-A471-08A910580FE3}" name="CP.Tag" dataDxfId="55" dataCellStyle="Salida">
      <calculatedColumnFormula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calculatedColumnFormula>
    </tableColumn>
    <tableColumn id="21" xr3:uid="{86FB126F-0805-49AE-92C8-C2DB6AD7113E}" name="CP.Comentario" dataDxfId="54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S15" totalsRowShown="0" headerRowDxfId="51" dataDxfId="50">
  <autoFilter ref="C10:S15" xr:uid="{D537C491-434E-4790-9B88-58164AED5A23}"/>
  <sortState xmlns:xlrd2="http://schemas.microsoft.com/office/spreadsheetml/2017/richdata2" ref="C11:S15">
    <sortCondition ref="C11:C15"/>
  </sortState>
  <tableColumns count="17">
    <tableColumn id="1" xr3:uid="{93F27EE2-EBFA-48F9-A591-37FCD6D3651D}" name="UID" dataDxfId="49" dataCellStyle="Salida"/>
    <tableColumn id="2" xr3:uid="{31D51B32-8774-432C-9354-A0B5DD144C68}" name="Numero" dataDxfId="48" dataCellStyle="Salida"/>
    <tableColumn id="3" xr3:uid="{C16F8454-0D2E-4412-A06F-87CF2483E2DD}" name="Tag" dataDxfId="47"/>
    <tableColumn id="16" xr3:uid="{1D16DB3B-8C2E-463B-9C72-870D277E3EC5}" name="Descripcion" dataDxfId="46"/>
    <tableColumn id="17" xr3:uid="{5E396D17-0D30-4F9B-9502-4919DA2B5C9D}" name="FAT" dataDxfId="45"/>
    <tableColumn id="4" xr3:uid="{EAEB5A02-7BC0-4CD9-B384-003D2C8B5330}" name="S.Byte" dataDxfId="44" dataCellStyle="Salida"/>
    <tableColumn id="14" xr3:uid="{8661B534-2A8E-407D-B4FC-384200F264FD}" name="S.Bit" dataDxfId="43" dataCellStyle="Salida"/>
    <tableColumn id="15" xr3:uid="{F43B6A9B-F4DE-4101-A1D9-7A5AD715358D}" name="RT.Byte" dataDxfId="42" dataCellStyle="Salida"/>
    <tableColumn id="12" xr3:uid="{FEBD842D-183A-47D0-835C-0DD76AA887DC}" name="RT.Bit" dataDxfId="41" dataCellStyle="Salida"/>
    <tableColumn id="13" xr3:uid="{198150DF-F05C-440D-B7BF-FBFFF4072F06}" name="RM.Byte" dataDxfId="40" dataCellStyle="Salida"/>
    <tableColumn id="10" xr3:uid="{F9FEC337-AA74-419C-894F-C39ABCB4E85F}" name="RM.Bit" dataDxfId="39" dataCellStyle="Salida"/>
    <tableColumn id="6" xr3:uid="{9110061B-9A1C-4A18-AAB5-3C9D23A4A3B5}" name="SA.Byte" dataDxfId="38" dataCellStyle="Salida"/>
    <tableColumn id="11" xr3:uid="{E35BF160-DCEB-4DED-9D8D-20484B3ACCD7}" name="Gr.Alarma" dataDxfId="37" dataCellStyle="Salida"/>
    <tableColumn id="8" xr3:uid="{4B99C1D0-9713-4DF3-8F83-3FE055543626}" name="Cuadro" dataDxfId="36" dataCellStyle="Salida"/>
    <tableColumn id="5" xr3:uid="{0E58856B-6787-49FB-8892-3DCDA177FD0B}" name="Observaciones" dataDxfId="35" dataCellStyle="Salida"/>
    <tableColumn id="18" xr3:uid="{4B1E30F8-389D-4C28-8571-85ECA4AB0679}" name="CP.Tag" dataDxfId="34" dataCellStyle="Salida">
      <calculatedColumnFormula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calculatedColumnFormula>
    </tableColumn>
    <tableColumn id="21" xr3:uid="{84BA8D2D-4BEB-41A7-B998-26E2FA30A19D}" name="CP.Comentario" dataDxfId="33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32" dataDxfId="31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30" dataCellStyle="Salida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29" dataDxfId="27" headerRowBorderDxfId="28" tableBorderDxfId="26">
  <autoFilter ref="E11:E22" xr:uid="{98A19C76-3622-41CE-ABF4-0BEC5E5A1273}"/>
  <tableColumns count="1">
    <tableColumn id="1" xr3:uid="{19794E4F-766C-444D-9C22-190D6FEE6B38}" name="Tipo" dataDxfId="25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24" dataDxfId="22" headerRowBorderDxfId="23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21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20" dataDxfId="18" headerRowBorderDxfId="19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17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16" dataDxfId="14" headerRowBorderDxfId="15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13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12" dataDxfId="10" headerRowBorderDxfId="11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9"/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843" totalsRowShown="0" headerRowDxfId="8" dataDxfId="7">
  <autoFilter ref="A1:F843" xr:uid="{D5A12297-C95E-4D7D-9085-64C31B61807A}"/>
  <sortState xmlns:xlrd2="http://schemas.microsoft.com/office/spreadsheetml/2017/richdata2" ref="A2:F843">
    <sortCondition descending="1" ref="A1:A843"/>
  </sortState>
  <tableColumns count="6">
    <tableColumn id="1" xr3:uid="{2114B256-293C-42A8-851B-4FAA84AD84A3}" name="Fecha/Hora" dataDxfId="6"/>
    <tableColumn id="2" xr3:uid="{6DCDE169-AB58-43A2-BAB5-7BC4768D8DEB}" name="Hoja" dataDxfId="5"/>
    <tableColumn id="3" xr3:uid="{FA262D06-9DFA-4833-954A-53B8A51041EC}" name="UID" dataDxfId="4"/>
    <tableColumn id="4" xr3:uid="{0A38BFE6-0E7C-448A-8CA0-6F9E395C02E7}" name="Numero" dataDxfId="3"/>
    <tableColumn id="5" xr3:uid="{C7698631-11D4-44FA-BD27-F7062B7C06CC}" name="Proceso" dataDxfId="2"/>
    <tableColumn id="9" xr3:uid="{B0990818-B543-4A4E-AE14-FD71077A907B}" name="Descripcion" dataDxfId="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showGridLines="0" topLeftCell="A15" workbookViewId="0">
      <selection activeCell="I50" sqref="I50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63" t="s">
        <v>20</v>
      </c>
      <c r="D25" s="263"/>
      <c r="E25" s="263"/>
      <c r="F25" s="263"/>
      <c r="G25" s="263"/>
      <c r="H25" s="263"/>
      <c r="I25" s="263"/>
      <c r="J25" s="263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4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1104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1105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1678</v>
      </c>
      <c r="F50" s="33"/>
      <c r="G50" s="33"/>
      <c r="H50" s="33"/>
      <c r="I50" s="39">
        <f ca="1">NOW()</f>
        <v>46156.368418865743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P53"/>
  <sheetViews>
    <sheetView showGridLines="0" tabSelected="1" zoomScaleNormal="100" workbookViewId="0">
      <pane ySplit="7" topLeftCell="A8" activePane="bottomLeft" state="frozen"/>
      <selection pane="bottomLeft" activeCell="C31" sqref="C31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89" customWidth="1"/>
    <col min="5" max="5" width="12.42578125" style="89" bestFit="1" customWidth="1"/>
    <col min="6" max="6" width="21.28515625" style="47" customWidth="1"/>
    <col min="7" max="7" width="18.5703125" style="47" customWidth="1"/>
    <col min="8" max="8" width="24.42578125" style="47" customWidth="1"/>
    <col min="9" max="9" width="22.85546875" style="47" customWidth="1"/>
    <col min="10" max="11" width="22.85546875" customWidth="1"/>
    <col min="12" max="12" width="22.85546875" style="47" customWidth="1"/>
    <col min="13" max="14" width="11.42578125" style="47"/>
    <col min="15" max="15" width="2.85546875" style="47" customWidth="1"/>
    <col min="16" max="16" width="5.140625" style="47" bestFit="1" customWidth="1"/>
    <col min="17" max="16384" width="11.42578125" style="47"/>
  </cols>
  <sheetData>
    <row r="1" spans="1:16" ht="16.5" customHeight="1" x14ac:dyDescent="0.3">
      <c r="A1" s="46"/>
      <c r="B1" s="46"/>
      <c r="C1" s="46"/>
      <c r="D1" s="86"/>
      <c r="E1" s="8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6" ht="16.5" customHeight="1" x14ac:dyDescent="0.3">
      <c r="A2" s="65"/>
      <c r="B2" s="264">
        <f>PORTADA!D46</f>
        <v>26000</v>
      </c>
      <c r="C2" s="264"/>
      <c r="D2" s="205"/>
      <c r="E2" s="205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65"/>
    </row>
    <row r="3" spans="1:16" ht="16.5" customHeight="1" x14ac:dyDescent="0.3">
      <c r="A3" s="65"/>
      <c r="B3" s="65" t="str">
        <f>PORTADA!D47</f>
        <v>PLANTILLA</v>
      </c>
      <c r="C3" s="65"/>
      <c r="D3" s="205"/>
      <c r="E3" s="20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</row>
    <row r="4" spans="1:16" ht="16.5" customHeight="1" x14ac:dyDescent="0.3">
      <c r="A4" s="65"/>
      <c r="B4" s="65" t="str">
        <f>PORTADA!D48</f>
        <v>ZEUS CONTROL</v>
      </c>
      <c r="C4" s="65"/>
      <c r="D4" s="205"/>
      <c r="E4" s="20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</row>
    <row r="5" spans="1:16" ht="12.75" customHeight="1" x14ac:dyDescent="0.3">
      <c r="A5" s="66"/>
      <c r="B5" s="66"/>
      <c r="C5" s="76"/>
      <c r="D5" s="207"/>
      <c r="E5" s="207"/>
      <c r="F5" s="76"/>
      <c r="G5" s="76"/>
      <c r="H5" s="76"/>
      <c r="I5" s="76"/>
      <c r="J5" s="76"/>
      <c r="K5" s="76"/>
      <c r="L5" s="76"/>
      <c r="M5" s="76"/>
      <c r="N5" s="76"/>
      <c r="O5" s="76"/>
      <c r="P5" s="66"/>
    </row>
    <row r="6" spans="1:16" ht="18" customHeight="1" x14ac:dyDescent="0.3">
      <c r="A6" s="66"/>
      <c r="B6" s="38" t="s">
        <v>1440</v>
      </c>
      <c r="C6" s="65"/>
      <c r="D6" s="205"/>
      <c r="E6" s="205"/>
      <c r="F6" s="65"/>
      <c r="G6" s="65"/>
      <c r="H6" s="65"/>
      <c r="I6" s="65"/>
      <c r="J6" s="65"/>
      <c r="K6" s="65"/>
      <c r="L6" s="65"/>
      <c r="M6" s="65"/>
      <c r="N6" s="65"/>
      <c r="O6" s="65"/>
      <c r="P6" s="66"/>
    </row>
    <row r="7" spans="1:16" ht="12.75" customHeight="1" x14ac:dyDescent="0.3">
      <c r="A7" s="66"/>
      <c r="B7" s="66"/>
      <c r="C7" s="76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8" t="str">
        <f>PORTADA!E50</f>
        <v>V0.01</v>
      </c>
    </row>
    <row r="9" spans="1:16" s="242" customFormat="1" x14ac:dyDescent="0.25">
      <c r="C9" s="265" t="s">
        <v>1084</v>
      </c>
      <c r="D9" s="265"/>
      <c r="E9" s="260"/>
    </row>
    <row r="10" spans="1:16" ht="7.5" customHeight="1" x14ac:dyDescent="0.3"/>
    <row r="11" spans="1:16" s="67" customFormat="1" x14ac:dyDescent="0.25">
      <c r="C11" s="232" t="s">
        <v>1085</v>
      </c>
      <c r="D11" s="231">
        <v>30</v>
      </c>
    </row>
    <row r="12" spans="1:16" s="67" customFormat="1" x14ac:dyDescent="0.25">
      <c r="C12" s="232" t="s">
        <v>1086</v>
      </c>
      <c r="D12" s="231">
        <v>20</v>
      </c>
    </row>
    <row r="13" spans="1:16" s="67" customFormat="1" x14ac:dyDescent="0.25">
      <c r="C13" s="232" t="s">
        <v>1087</v>
      </c>
      <c r="D13" s="231">
        <v>15</v>
      </c>
    </row>
    <row r="14" spans="1:16" s="67" customFormat="1" x14ac:dyDescent="0.25">
      <c r="C14" s="232" t="s">
        <v>1088</v>
      </c>
      <c r="D14" s="231">
        <v>25</v>
      </c>
    </row>
    <row r="15" spans="1:16" s="67" customFormat="1" x14ac:dyDescent="0.25">
      <c r="C15" s="232" t="s">
        <v>1089</v>
      </c>
      <c r="D15" s="231">
        <v>10</v>
      </c>
    </row>
    <row r="16" spans="1:16" s="67" customFormat="1" x14ac:dyDescent="0.25">
      <c r="C16" s="232" t="s">
        <v>1090</v>
      </c>
      <c r="D16" s="231">
        <v>5</v>
      </c>
    </row>
    <row r="17" spans="3:12" s="67" customFormat="1" x14ac:dyDescent="0.25">
      <c r="C17" s="232" t="s">
        <v>1441</v>
      </c>
      <c r="D17" s="243">
        <v>50</v>
      </c>
      <c r="E17" s="230" t="s">
        <v>1734</v>
      </c>
    </row>
    <row r="18" spans="3:12" s="67" customFormat="1" x14ac:dyDescent="0.3">
      <c r="C18" s="232" t="s">
        <v>1091</v>
      </c>
      <c r="D18" s="243">
        <v>50</v>
      </c>
      <c r="E18" s="230" t="s">
        <v>1734</v>
      </c>
      <c r="G18" s="62"/>
      <c r="H18" s="62"/>
      <c r="I18" s="62"/>
      <c r="J18" s="62"/>
      <c r="K18" s="62"/>
      <c r="L18" s="62"/>
    </row>
    <row r="19" spans="3:12" s="67" customFormat="1" x14ac:dyDescent="0.3">
      <c r="C19" s="232" t="s">
        <v>1092</v>
      </c>
      <c r="D19" s="243">
        <v>50</v>
      </c>
      <c r="E19" s="230" t="s">
        <v>1734</v>
      </c>
      <c r="G19" s="62"/>
      <c r="H19" s="62"/>
      <c r="I19" s="62"/>
      <c r="J19" s="62"/>
      <c r="K19" s="62"/>
      <c r="L19" s="62"/>
    </row>
    <row r="20" spans="3:12" x14ac:dyDescent="0.3">
      <c r="E20" s="67"/>
      <c r="G20" s="62"/>
      <c r="H20" s="62"/>
      <c r="I20" s="62"/>
      <c r="J20" s="62"/>
      <c r="K20" s="62"/>
      <c r="L20" s="62"/>
    </row>
    <row r="21" spans="3:12" s="242" customFormat="1" x14ac:dyDescent="0.3">
      <c r="C21" s="266" t="s">
        <v>1083</v>
      </c>
      <c r="D21" s="266"/>
      <c r="E21" s="230"/>
      <c r="J21" s="62"/>
      <c r="K21" s="62"/>
      <c r="L21" s="62"/>
    </row>
    <row r="22" spans="3:12" x14ac:dyDescent="0.3">
      <c r="J22" s="62"/>
      <c r="K22" s="62"/>
      <c r="L22" s="62"/>
    </row>
    <row r="23" spans="3:12" x14ac:dyDescent="0.3">
      <c r="C23" s="204" t="s">
        <v>1080</v>
      </c>
      <c r="D23" s="204" t="s">
        <v>1077</v>
      </c>
      <c r="E23" s="204" t="s">
        <v>2760</v>
      </c>
      <c r="F23" s="204" t="s">
        <v>1688</v>
      </c>
      <c r="G23" s="204" t="s">
        <v>1106</v>
      </c>
      <c r="H23" s="204" t="s">
        <v>1107</v>
      </c>
      <c r="I23" s="204" t="s">
        <v>1078</v>
      </c>
      <c r="J23" s="62"/>
      <c r="K23" s="62"/>
      <c r="L23" s="62"/>
    </row>
    <row r="24" spans="3:12" x14ac:dyDescent="0.3">
      <c r="C24" s="247">
        <v>1</v>
      </c>
      <c r="D24" s="222" t="s">
        <v>1102</v>
      </c>
      <c r="E24" s="62" t="s">
        <v>2761</v>
      </c>
      <c r="F24" s="62">
        <v>0</v>
      </c>
      <c r="G24" s="62">
        <v>90</v>
      </c>
      <c r="H24" s="62">
        <v>22</v>
      </c>
      <c r="I24" s="62">
        <v>8</v>
      </c>
      <c r="J24" s="62"/>
      <c r="K24" s="62"/>
      <c r="L24" s="62"/>
    </row>
    <row r="25" spans="3:12" x14ac:dyDescent="0.3">
      <c r="C25" s="247">
        <v>100</v>
      </c>
      <c r="D25" s="248" t="s">
        <v>233</v>
      </c>
      <c r="E25" s="62" t="s">
        <v>2762</v>
      </c>
      <c r="F25" s="62">
        <v>15</v>
      </c>
      <c r="G25" s="62">
        <v>40</v>
      </c>
      <c r="H25" s="62">
        <v>35</v>
      </c>
      <c r="I25" s="62">
        <v>16</v>
      </c>
      <c r="J25" s="62"/>
      <c r="K25" s="62"/>
      <c r="L25" s="62"/>
    </row>
    <row r="26" spans="3:12" x14ac:dyDescent="0.3">
      <c r="C26" s="247">
        <v>110</v>
      </c>
      <c r="D26" s="249" t="s">
        <v>238</v>
      </c>
      <c r="E26" s="62" t="s">
        <v>2763</v>
      </c>
      <c r="F26" s="62">
        <v>10</v>
      </c>
      <c r="G26" s="62">
        <v>20</v>
      </c>
      <c r="H26" s="62">
        <v>35</v>
      </c>
      <c r="I26" s="62">
        <v>16</v>
      </c>
      <c r="J26" s="62"/>
      <c r="K26" s="62"/>
      <c r="L26" s="62"/>
    </row>
    <row r="27" spans="3:12" x14ac:dyDescent="0.3">
      <c r="C27" s="247">
        <v>500</v>
      </c>
      <c r="D27" s="250" t="s">
        <v>1885</v>
      </c>
      <c r="E27" s="62" t="s">
        <v>2764</v>
      </c>
      <c r="F27" s="62">
        <v>35</v>
      </c>
      <c r="G27" s="62">
        <v>110</v>
      </c>
      <c r="H27" s="62">
        <v>25</v>
      </c>
      <c r="I27" s="62">
        <v>64</v>
      </c>
      <c r="J27" s="62"/>
      <c r="K27" s="62"/>
      <c r="L27" s="62"/>
    </row>
    <row r="28" spans="3:12" x14ac:dyDescent="0.3">
      <c r="C28" s="247">
        <v>501</v>
      </c>
      <c r="D28" s="251" t="s">
        <v>1886</v>
      </c>
      <c r="E28" s="62" t="s">
        <v>2765</v>
      </c>
      <c r="F28" s="62">
        <v>0</v>
      </c>
      <c r="G28" s="62">
        <v>190</v>
      </c>
      <c r="H28" s="62">
        <v>5</v>
      </c>
      <c r="I28" s="62">
        <v>0</v>
      </c>
      <c r="J28" s="62"/>
      <c r="K28" s="62"/>
      <c r="L28" s="62"/>
    </row>
    <row r="29" spans="3:12" x14ac:dyDescent="0.3">
      <c r="C29" s="247">
        <v>1100</v>
      </c>
      <c r="D29" s="252" t="s">
        <v>1887</v>
      </c>
      <c r="E29" s="62" t="s">
        <v>2766</v>
      </c>
      <c r="F29" s="62">
        <v>0</v>
      </c>
      <c r="G29" s="62">
        <v>10</v>
      </c>
      <c r="H29" s="62">
        <v>5</v>
      </c>
      <c r="I29" s="62">
        <v>8</v>
      </c>
      <c r="J29" s="62"/>
      <c r="K29" s="62"/>
      <c r="L29" s="62"/>
    </row>
    <row r="30" spans="3:12" x14ac:dyDescent="0.3">
      <c r="C30" s="247">
        <v>150</v>
      </c>
      <c r="D30" s="258" t="s">
        <v>2596</v>
      </c>
      <c r="E30" s="62" t="s">
        <v>2767</v>
      </c>
      <c r="F30" s="62">
        <v>30</v>
      </c>
      <c r="G30" s="62">
        <v>48</v>
      </c>
      <c r="H30" s="62">
        <v>38</v>
      </c>
      <c r="I30" s="62">
        <v>16</v>
      </c>
      <c r="J30" s="62"/>
      <c r="K30" s="62"/>
      <c r="L30" s="62"/>
    </row>
    <row r="31" spans="3:12" x14ac:dyDescent="0.3">
      <c r="C31" s="247">
        <v>1620</v>
      </c>
      <c r="D31" s="222" t="s">
        <v>2768</v>
      </c>
      <c r="E31" s="62" t="s">
        <v>2768</v>
      </c>
      <c r="F31" s="62">
        <v>0</v>
      </c>
      <c r="G31" s="62">
        <v>10</v>
      </c>
      <c r="H31" s="62">
        <v>10</v>
      </c>
      <c r="I31" s="62">
        <v>16</v>
      </c>
      <c r="J31" s="62"/>
      <c r="K31" s="62"/>
      <c r="L31" s="62"/>
    </row>
    <row r="32" spans="3:12" x14ac:dyDescent="0.3">
      <c r="C32" s="247"/>
      <c r="D32" s="62"/>
      <c r="E32" s="62"/>
      <c r="F32" s="62"/>
      <c r="G32" s="62"/>
      <c r="H32" s="62"/>
      <c r="I32" s="62"/>
      <c r="J32" s="62"/>
      <c r="K32" s="62"/>
      <c r="L32" s="62"/>
    </row>
    <row r="33" spans="3:12" x14ac:dyDescent="0.3">
      <c r="C33" s="62"/>
      <c r="D33" s="62"/>
      <c r="E33" s="62"/>
      <c r="F33" s="62"/>
      <c r="G33" s="62"/>
      <c r="H33" s="62"/>
      <c r="I33" s="62"/>
      <c r="J33" s="62"/>
      <c r="K33" s="62"/>
      <c r="L33" s="62"/>
    </row>
    <row r="34" spans="3:12" x14ac:dyDescent="0.3">
      <c r="C34" s="62"/>
      <c r="D34" s="62"/>
      <c r="E34" s="62"/>
      <c r="F34" s="62"/>
      <c r="G34" s="62"/>
      <c r="H34" s="62"/>
      <c r="I34" s="62"/>
      <c r="J34" s="62"/>
      <c r="K34" s="62"/>
      <c r="L34" s="62"/>
    </row>
    <row r="35" spans="3:12" x14ac:dyDescent="0.3">
      <c r="C35" s="247"/>
      <c r="D35" s="47"/>
      <c r="E35" s="47"/>
      <c r="F35" s="62"/>
      <c r="G35" s="62"/>
      <c r="H35" s="62"/>
      <c r="I35" s="62"/>
      <c r="J35" s="62"/>
      <c r="K35" s="62"/>
      <c r="L35" s="62"/>
    </row>
    <row r="36" spans="3:12" x14ac:dyDescent="0.3">
      <c r="C36" s="247"/>
      <c r="D36" s="47"/>
      <c r="E36" s="47"/>
      <c r="F36" s="62"/>
      <c r="G36" s="62"/>
      <c r="H36" s="62"/>
      <c r="I36" s="62"/>
      <c r="J36" s="62"/>
      <c r="K36" s="62"/>
      <c r="L36" s="62"/>
    </row>
    <row r="37" spans="3:12" x14ac:dyDescent="0.3">
      <c r="G37" s="62"/>
      <c r="H37" s="62"/>
      <c r="I37" s="62"/>
      <c r="J37" s="62"/>
      <c r="K37" s="62"/>
      <c r="L37" s="62"/>
    </row>
    <row r="38" spans="3:12" x14ac:dyDescent="0.3">
      <c r="G38" s="62"/>
      <c r="H38" s="62"/>
      <c r="I38" s="62"/>
      <c r="J38" s="62"/>
      <c r="K38" s="62"/>
      <c r="L38" s="62"/>
    </row>
    <row r="39" spans="3:12" x14ac:dyDescent="0.3">
      <c r="G39" s="62"/>
      <c r="H39" s="62"/>
      <c r="I39" s="62"/>
      <c r="J39" s="62"/>
      <c r="K39" s="62"/>
      <c r="L39" s="62"/>
    </row>
    <row r="40" spans="3:12" x14ac:dyDescent="0.3">
      <c r="G40" s="62"/>
      <c r="H40" s="62"/>
      <c r="I40" s="62"/>
      <c r="J40" s="62"/>
      <c r="K40" s="62"/>
      <c r="L40" s="62"/>
    </row>
    <row r="41" spans="3:12" x14ac:dyDescent="0.3">
      <c r="G41" s="62"/>
      <c r="H41" s="62"/>
      <c r="I41" s="62"/>
      <c r="J41" s="62"/>
      <c r="K41" s="62"/>
      <c r="L41" s="62"/>
    </row>
    <row r="42" spans="3:12" x14ac:dyDescent="0.3">
      <c r="G42" s="62"/>
      <c r="H42" s="62"/>
      <c r="I42" s="62"/>
      <c r="J42" s="62"/>
      <c r="K42" s="62"/>
      <c r="L42" s="62"/>
    </row>
    <row r="43" spans="3:12" x14ac:dyDescent="0.3">
      <c r="G43" s="62"/>
      <c r="H43" s="62"/>
      <c r="I43" s="62"/>
    </row>
    <row r="44" spans="3:12" x14ac:dyDescent="0.3">
      <c r="G44" s="62"/>
      <c r="H44" s="62"/>
      <c r="I44" s="62"/>
    </row>
    <row r="45" spans="3:12" x14ac:dyDescent="0.3">
      <c r="G45" s="62"/>
      <c r="H45" s="62"/>
      <c r="I45" s="62"/>
    </row>
    <row r="46" spans="3:12" x14ac:dyDescent="0.3">
      <c r="G46" s="62"/>
      <c r="H46" s="62"/>
      <c r="I46" s="62"/>
    </row>
    <row r="47" spans="3:12" x14ac:dyDescent="0.3">
      <c r="G47" s="62"/>
      <c r="H47" s="62"/>
      <c r="I47" s="62"/>
    </row>
    <row r="48" spans="3:12" x14ac:dyDescent="0.3">
      <c r="G48" s="62"/>
      <c r="H48" s="62"/>
      <c r="I48" s="62"/>
    </row>
    <row r="49" spans="7:9" x14ac:dyDescent="0.3">
      <c r="G49" s="62"/>
      <c r="H49" s="62"/>
      <c r="I49" s="62"/>
    </row>
    <row r="50" spans="7:9" x14ac:dyDescent="0.3">
      <c r="G50" s="62"/>
      <c r="H50" s="62"/>
      <c r="I50" s="62"/>
    </row>
    <row r="51" spans="7:9" x14ac:dyDescent="0.3">
      <c r="G51" s="62"/>
      <c r="H51" s="62"/>
      <c r="I51" s="62"/>
    </row>
    <row r="52" spans="7:9" x14ac:dyDescent="0.3">
      <c r="G52" s="62"/>
      <c r="H52" s="62"/>
      <c r="I52" s="62"/>
    </row>
    <row r="53" spans="7:9" x14ac:dyDescent="0.3">
      <c r="G53" s="62"/>
      <c r="H53" s="62"/>
      <c r="I53" s="62"/>
    </row>
  </sheetData>
  <mergeCells count="3">
    <mergeCell ref="B2:C2"/>
    <mergeCell ref="C9:D9"/>
    <mergeCell ref="C21:D21"/>
  </mergeCells>
  <phoneticPr fontId="23" type="noConversion"/>
  <dataValidations count="1">
    <dataValidation type="textLength" allowBlank="1" showInputMessage="1" showErrorMessage="1" sqref="D24:E31" xr:uid="{2C801D00-E3B2-4554-90B4-481329BD1A07}">
      <formula1>0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7</xdr:col>
                    <xdr:colOff>1438275</xdr:colOff>
                    <xdr:row>20</xdr:row>
                    <xdr:rowOff>28575</xdr:rowOff>
                  </from>
                  <to>
                    <xdr:col>8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6</xdr:col>
                    <xdr:colOff>1114425</xdr:colOff>
                    <xdr:row>20</xdr:row>
                    <xdr:rowOff>28575</xdr:rowOff>
                  </from>
                  <to>
                    <xdr:col>7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zoomScale="85" zoomScaleNormal="85" workbookViewId="0">
      <pane ySplit="11" topLeftCell="A12" activePane="bottomLeft" state="frozen"/>
      <selection pane="bottomLeft" activeCell="K12" sqref="K1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15" customWidth="1"/>
    <col min="10" max="10" width="2.85546875" style="47" customWidth="1"/>
    <col min="11" max="11" width="20.7109375" style="67" bestFit="1" customWidth="1"/>
    <col min="12" max="12" width="21.5703125" style="67" bestFit="1" customWidth="1"/>
    <col min="13" max="13" width="15.7109375" style="67" bestFit="1" customWidth="1"/>
    <col min="14" max="14" width="29" style="67" bestFit="1" customWidth="1"/>
    <col min="15" max="15" width="15.28515625" style="67" bestFit="1" customWidth="1"/>
    <col min="16" max="16" width="19.140625" style="67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02"/>
      <c r="K1" s="246"/>
      <c r="L1" s="246"/>
      <c r="M1" s="246"/>
      <c r="N1" s="246"/>
      <c r="O1" s="246"/>
      <c r="P1" s="246"/>
      <c r="Q1" s="261"/>
    </row>
    <row r="2" spans="1:17" ht="16.5" customHeight="1" x14ac:dyDescent="0.35">
      <c r="A2" s="48"/>
      <c r="B2" s="262">
        <f>PORTADA!D46</f>
        <v>26000</v>
      </c>
      <c r="C2" s="262"/>
      <c r="D2" s="60"/>
      <c r="E2" s="60"/>
      <c r="F2" s="60"/>
      <c r="G2" s="60"/>
      <c r="H2" s="60"/>
      <c r="I2" s="216"/>
      <c r="J2" s="202"/>
      <c r="K2" s="246"/>
      <c r="L2" s="246"/>
      <c r="M2" s="246"/>
      <c r="N2" s="246"/>
      <c r="O2" s="246"/>
      <c r="P2" s="246"/>
      <c r="Q2" s="261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27"/>
      <c r="J3" s="202"/>
      <c r="K3" s="246"/>
      <c r="L3" s="246"/>
      <c r="M3" s="246"/>
      <c r="N3" s="246"/>
      <c r="O3" s="246"/>
      <c r="P3" s="246"/>
      <c r="Q3" s="261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27"/>
      <c r="J4" s="202"/>
      <c r="K4" s="246"/>
      <c r="L4" s="246"/>
      <c r="M4" s="246"/>
      <c r="N4" s="246"/>
      <c r="O4" s="246"/>
      <c r="P4" s="246"/>
      <c r="Q4" s="261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02"/>
      <c r="K5" s="246"/>
      <c r="L5" s="246"/>
      <c r="M5" s="246"/>
      <c r="N5" s="246"/>
      <c r="O5" s="246"/>
      <c r="P5" s="246"/>
      <c r="Q5" s="261"/>
    </row>
    <row r="6" spans="1:17" ht="18" customHeight="1" x14ac:dyDescent="0.35">
      <c r="A6" s="46"/>
      <c r="B6" s="53" t="s">
        <v>1823</v>
      </c>
      <c r="C6" s="60"/>
      <c r="D6" s="60"/>
      <c r="E6" s="60"/>
      <c r="F6" s="60"/>
      <c r="G6" s="60"/>
      <c r="H6" s="60"/>
      <c r="I6" s="216"/>
      <c r="J6" s="202"/>
      <c r="K6" s="246"/>
      <c r="L6" s="246"/>
      <c r="M6" s="246"/>
      <c r="N6" s="246"/>
      <c r="O6" s="246"/>
      <c r="P6" s="246"/>
      <c r="Q6" s="261"/>
    </row>
    <row r="7" spans="1:17" ht="12.75" customHeight="1" x14ac:dyDescent="0.35">
      <c r="A7" s="46"/>
      <c r="B7" s="46"/>
      <c r="C7" s="52"/>
      <c r="D7" s="52"/>
      <c r="E7" s="52"/>
      <c r="F7" s="209"/>
      <c r="G7" s="209"/>
      <c r="H7" s="209"/>
      <c r="I7" s="228"/>
      <c r="J7" s="202"/>
      <c r="K7" s="246"/>
      <c r="L7" s="246"/>
      <c r="M7" s="246"/>
      <c r="N7" s="246"/>
      <c r="O7" s="246"/>
      <c r="P7" s="246"/>
      <c r="Q7" s="203" t="str">
        <f>PORTADA!E50</f>
        <v>V0.01</v>
      </c>
    </row>
    <row r="9" spans="1:17" s="242" customFormat="1" x14ac:dyDescent="0.25">
      <c r="C9" s="266" t="s">
        <v>1869</v>
      </c>
      <c r="D9" s="266"/>
      <c r="E9" s="67"/>
      <c r="F9" s="67"/>
      <c r="G9" s="67"/>
      <c r="K9" s="230" t="s">
        <v>1870</v>
      </c>
      <c r="L9" s="67"/>
      <c r="M9" s="67"/>
      <c r="N9" s="67"/>
      <c r="O9" s="67"/>
      <c r="P9" s="67"/>
    </row>
    <row r="10" spans="1:17" ht="7.5" customHeight="1" x14ac:dyDescent="0.3">
      <c r="H10" s="47"/>
      <c r="I10" s="47"/>
    </row>
    <row r="11" spans="1:17" x14ac:dyDescent="0.3">
      <c r="C11" s="204" t="s">
        <v>1844</v>
      </c>
      <c r="D11" s="210" t="s">
        <v>1824</v>
      </c>
      <c r="E11" s="211" t="s">
        <v>1825</v>
      </c>
      <c r="F11" s="211" t="s">
        <v>1826</v>
      </c>
      <c r="G11" s="211" t="s">
        <v>1827</v>
      </c>
      <c r="H11" s="211" t="s">
        <v>1451</v>
      </c>
      <c r="I11" s="211" t="s">
        <v>419</v>
      </c>
      <c r="K11" s="245" t="s">
        <v>1828</v>
      </c>
      <c r="L11" s="245" t="s">
        <v>1829</v>
      </c>
      <c r="M11" s="245" t="s">
        <v>1830</v>
      </c>
      <c r="N11" s="245" t="s">
        <v>1831</v>
      </c>
      <c r="O11" s="245" t="s">
        <v>2733</v>
      </c>
      <c r="P11" s="245" t="s">
        <v>1832</v>
      </c>
    </row>
    <row r="12" spans="1:17" s="242" customFormat="1" x14ac:dyDescent="0.25">
      <c r="C12" s="241" t="s">
        <v>1857</v>
      </c>
      <c r="D12" s="241" t="s">
        <v>1853</v>
      </c>
      <c r="E12" s="241" t="s">
        <v>1858</v>
      </c>
      <c r="F12" s="241" t="s">
        <v>1859</v>
      </c>
      <c r="G12" s="241" t="s">
        <v>1860</v>
      </c>
      <c r="H12" s="226" t="s">
        <v>64</v>
      </c>
      <c r="I12" s="229" t="s">
        <v>1861</v>
      </c>
      <c r="K12" s="241" t="s">
        <v>1857</v>
      </c>
      <c r="L12" s="241" t="s">
        <v>1864</v>
      </c>
      <c r="M12" s="241" t="s">
        <v>305</v>
      </c>
      <c r="N12" s="241" t="s">
        <v>1868</v>
      </c>
      <c r="O12" s="241"/>
      <c r="P12" s="241"/>
    </row>
    <row r="13" spans="1:17" x14ac:dyDescent="0.3">
      <c r="C13" s="241" t="s">
        <v>1863</v>
      </c>
      <c r="D13" s="241" t="s">
        <v>1853</v>
      </c>
      <c r="E13" s="241" t="s">
        <v>1862</v>
      </c>
      <c r="F13" s="241" t="s">
        <v>1859</v>
      </c>
      <c r="G13" s="241" t="s">
        <v>1860</v>
      </c>
      <c r="H13" s="226" t="s">
        <v>64</v>
      </c>
      <c r="I13" s="229" t="s">
        <v>1867</v>
      </c>
      <c r="K13" s="241"/>
      <c r="L13" s="241"/>
      <c r="M13" s="241"/>
      <c r="N13" s="241"/>
      <c r="O13" s="241"/>
      <c r="P13" s="241"/>
    </row>
    <row r="14" spans="1:17" x14ac:dyDescent="0.3">
      <c r="C14" s="241" t="s">
        <v>1864</v>
      </c>
      <c r="D14" s="241" t="s">
        <v>1847</v>
      </c>
      <c r="E14" s="241" t="s">
        <v>1865</v>
      </c>
      <c r="F14" s="241" t="s">
        <v>1859</v>
      </c>
      <c r="G14" s="241" t="s">
        <v>1860</v>
      </c>
      <c r="H14" s="226" t="s">
        <v>64</v>
      </c>
      <c r="I14" s="229" t="s">
        <v>1866</v>
      </c>
      <c r="K14" s="241"/>
      <c r="L14" s="241"/>
      <c r="M14" s="241"/>
      <c r="N14" s="241"/>
      <c r="O14" s="241"/>
      <c r="P14" s="241"/>
    </row>
    <row r="15" spans="1:17" x14ac:dyDescent="0.3">
      <c r="C15" s="241"/>
      <c r="D15" s="241"/>
      <c r="E15" s="241"/>
      <c r="F15" s="241"/>
      <c r="G15" s="241"/>
      <c r="H15" s="226"/>
      <c r="I15" s="229"/>
      <c r="K15" s="241"/>
      <c r="L15" s="241"/>
      <c r="M15" s="241"/>
      <c r="N15" s="241"/>
      <c r="O15" s="241"/>
      <c r="P15" s="241"/>
    </row>
    <row r="16" spans="1:17" x14ac:dyDescent="0.3">
      <c r="C16" s="241"/>
      <c r="D16" s="241"/>
      <c r="E16" s="241"/>
      <c r="F16" s="241"/>
      <c r="G16" s="241"/>
      <c r="H16" s="226"/>
      <c r="I16" s="229"/>
      <c r="K16" s="241"/>
      <c r="L16" s="241"/>
      <c r="M16" s="241"/>
      <c r="N16" s="241"/>
      <c r="O16" s="241"/>
      <c r="P16" s="241"/>
    </row>
    <row r="17" spans="3:16" x14ac:dyDescent="0.3">
      <c r="C17" s="241"/>
      <c r="D17" s="241"/>
      <c r="E17" s="241"/>
      <c r="F17" s="241"/>
      <c r="G17" s="241"/>
      <c r="H17" s="226"/>
      <c r="I17" s="229"/>
      <c r="K17" s="241"/>
      <c r="L17" s="241"/>
      <c r="M17" s="241"/>
      <c r="N17" s="241"/>
      <c r="O17" s="241"/>
      <c r="P17" s="241"/>
    </row>
    <row r="18" spans="3:16" x14ac:dyDescent="0.3">
      <c r="C18" s="241"/>
      <c r="D18" s="241"/>
      <c r="E18" s="241"/>
      <c r="F18" s="241"/>
      <c r="G18" s="241"/>
      <c r="H18" s="226"/>
      <c r="I18" s="229"/>
      <c r="K18" s="241"/>
      <c r="L18" s="241"/>
      <c r="M18" s="241"/>
      <c r="N18" s="241"/>
      <c r="O18" s="241"/>
      <c r="P18" s="241"/>
    </row>
    <row r="19" spans="3:16" x14ac:dyDescent="0.3">
      <c r="C19" s="241"/>
      <c r="D19" s="241"/>
      <c r="E19" s="241"/>
      <c r="F19" s="241"/>
      <c r="G19" s="241"/>
      <c r="H19" s="226"/>
      <c r="I19" s="229"/>
      <c r="K19" s="241"/>
      <c r="L19" s="241"/>
      <c r="M19" s="241"/>
      <c r="N19" s="241"/>
      <c r="O19" s="241"/>
      <c r="P19" s="241"/>
    </row>
    <row r="20" spans="3:16" x14ac:dyDescent="0.3">
      <c r="C20" s="241"/>
      <c r="D20" s="241"/>
      <c r="E20" s="241"/>
      <c r="F20" s="241"/>
      <c r="G20" s="241"/>
      <c r="H20" s="226"/>
      <c r="I20" s="229"/>
      <c r="K20" s="241"/>
      <c r="L20" s="241"/>
      <c r="M20" s="241"/>
      <c r="N20" s="241"/>
      <c r="O20" s="241"/>
      <c r="P20" s="241"/>
    </row>
    <row r="21" spans="3:16" x14ac:dyDescent="0.3">
      <c r="C21" s="241"/>
      <c r="D21" s="241"/>
      <c r="E21" s="241"/>
      <c r="F21" s="241"/>
      <c r="G21" s="241"/>
      <c r="H21" s="226"/>
      <c r="I21" s="229"/>
      <c r="K21" s="241"/>
      <c r="L21" s="241"/>
      <c r="M21" s="241"/>
      <c r="N21" s="241"/>
      <c r="O21" s="241"/>
      <c r="P21" s="241"/>
    </row>
    <row r="22" spans="3:16" x14ac:dyDescent="0.3">
      <c r="C22" s="241"/>
      <c r="D22" s="241"/>
      <c r="E22" s="241"/>
      <c r="F22" s="241"/>
      <c r="G22" s="241"/>
      <c r="H22" s="226"/>
      <c r="I22" s="229"/>
      <c r="K22" s="241"/>
      <c r="L22" s="241"/>
      <c r="M22" s="241"/>
      <c r="N22" s="241"/>
      <c r="O22" s="241"/>
      <c r="P22" s="241"/>
    </row>
    <row r="23" spans="3:16" x14ac:dyDescent="0.3">
      <c r="C23" s="241"/>
      <c r="D23" s="241"/>
      <c r="E23" s="241"/>
      <c r="F23" s="241"/>
      <c r="G23" s="241"/>
      <c r="H23" s="226"/>
      <c r="I23" s="229"/>
    </row>
    <row r="24" spans="3:16" x14ac:dyDescent="0.3">
      <c r="C24" s="241"/>
      <c r="D24" s="241"/>
      <c r="E24" s="241"/>
      <c r="F24" s="241"/>
      <c r="G24" s="241"/>
      <c r="H24" s="226"/>
      <c r="I24" s="229"/>
    </row>
    <row r="25" spans="3:16" x14ac:dyDescent="0.3">
      <c r="C25" s="241"/>
      <c r="D25" s="241"/>
      <c r="E25" s="241"/>
      <c r="F25" s="241"/>
      <c r="G25" s="241"/>
      <c r="H25" s="226"/>
      <c r="I25" s="229"/>
    </row>
    <row r="26" spans="3:16" x14ac:dyDescent="0.3">
      <c r="C26" s="241"/>
      <c r="D26" s="241"/>
      <c r="E26" s="241"/>
      <c r="F26" s="241"/>
      <c r="G26" s="241"/>
      <c r="H26" s="226"/>
      <c r="I26" s="229"/>
    </row>
    <row r="27" spans="3:16" x14ac:dyDescent="0.3">
      <c r="C27" s="241"/>
      <c r="D27" s="241"/>
      <c r="E27" s="241"/>
      <c r="F27" s="241"/>
      <c r="G27" s="241"/>
      <c r="H27" s="226"/>
      <c r="I27" s="229"/>
    </row>
    <row r="28" spans="3:16" x14ac:dyDescent="0.3">
      <c r="C28" s="241"/>
      <c r="D28" s="241"/>
      <c r="E28" s="241"/>
      <c r="F28" s="241"/>
      <c r="G28" s="241"/>
      <c r="H28" s="226"/>
      <c r="I28" s="229"/>
    </row>
    <row r="29" spans="3:16" x14ac:dyDescent="0.3">
      <c r="C29" s="241"/>
      <c r="D29" s="241"/>
      <c r="E29" s="241"/>
      <c r="F29" s="241"/>
      <c r="G29" s="241"/>
      <c r="H29" s="226"/>
      <c r="I29" s="229"/>
    </row>
    <row r="30" spans="3:16" x14ac:dyDescent="0.3">
      <c r="C30" s="241"/>
      <c r="D30" s="241"/>
      <c r="E30" s="241"/>
      <c r="F30" s="241"/>
      <c r="G30" s="241"/>
      <c r="H30" s="226"/>
      <c r="I30" s="229"/>
    </row>
    <row r="31" spans="3:16" x14ac:dyDescent="0.3">
      <c r="C31" s="241"/>
      <c r="D31" s="241"/>
      <c r="E31" s="241"/>
      <c r="F31" s="241"/>
      <c r="G31" s="241"/>
      <c r="H31" s="226"/>
      <c r="I31" s="229"/>
    </row>
    <row r="32" spans="3:16" x14ac:dyDescent="0.3">
      <c r="C32" s="241"/>
      <c r="D32" s="241"/>
      <c r="E32" s="241"/>
      <c r="F32" s="241"/>
      <c r="G32" s="241"/>
      <c r="H32" s="226"/>
      <c r="I32" s="229"/>
    </row>
    <row r="33" spans="3:9" x14ac:dyDescent="0.3">
      <c r="C33" s="241"/>
      <c r="D33" s="241"/>
      <c r="E33" s="241"/>
      <c r="F33" s="241"/>
      <c r="G33" s="241"/>
      <c r="H33" s="226"/>
      <c r="I33" s="229"/>
    </row>
    <row r="34" spans="3:9" x14ac:dyDescent="0.3">
      <c r="C34" s="241"/>
      <c r="D34" s="241"/>
      <c r="E34" s="241"/>
      <c r="F34" s="241"/>
      <c r="G34" s="241"/>
      <c r="H34" s="226"/>
      <c r="I34" s="229"/>
    </row>
    <row r="35" spans="3:9" x14ac:dyDescent="0.3">
      <c r="C35" s="241"/>
      <c r="D35" s="241"/>
      <c r="E35" s="241"/>
      <c r="F35" s="241"/>
      <c r="G35" s="241"/>
      <c r="H35" s="226"/>
      <c r="I35" s="229"/>
    </row>
    <row r="36" spans="3:9" x14ac:dyDescent="0.3">
      <c r="C36" s="241"/>
      <c r="D36" s="241"/>
      <c r="E36" s="241"/>
      <c r="F36" s="241"/>
      <c r="G36" s="241"/>
      <c r="H36" s="226"/>
      <c r="I36" s="229"/>
    </row>
    <row r="37" spans="3:9" x14ac:dyDescent="0.3">
      <c r="C37" s="241"/>
      <c r="D37" s="241"/>
      <c r="E37" s="241"/>
      <c r="F37" s="241"/>
      <c r="G37" s="241"/>
      <c r="H37" s="226"/>
      <c r="I37" s="229"/>
    </row>
    <row r="38" spans="3:9" x14ac:dyDescent="0.3">
      <c r="C38" s="241"/>
      <c r="D38" s="241"/>
      <c r="E38" s="241"/>
      <c r="F38" s="241"/>
      <c r="G38" s="241"/>
      <c r="H38" s="226"/>
      <c r="I38" s="229"/>
    </row>
    <row r="39" spans="3:9" x14ac:dyDescent="0.3">
      <c r="C39" s="241"/>
      <c r="D39" s="241"/>
      <c r="E39" s="241"/>
      <c r="F39" s="241"/>
      <c r="G39" s="241"/>
      <c r="H39" s="226"/>
      <c r="I39" s="229"/>
    </row>
    <row r="40" spans="3:9" x14ac:dyDescent="0.3">
      <c r="C40" s="241"/>
      <c r="D40" s="241"/>
      <c r="E40" s="241"/>
      <c r="F40" s="241"/>
      <c r="G40" s="241"/>
      <c r="H40" s="226"/>
      <c r="I40" s="229"/>
    </row>
    <row r="41" spans="3:9" x14ac:dyDescent="0.3">
      <c r="C41" s="241"/>
      <c r="D41" s="241"/>
      <c r="E41" s="241"/>
      <c r="F41" s="241"/>
      <c r="G41" s="241"/>
      <c r="H41" s="226"/>
      <c r="I41" s="229"/>
    </row>
    <row r="42" spans="3:9" x14ac:dyDescent="0.3">
      <c r="C42" s="241"/>
      <c r="D42" s="241"/>
      <c r="E42" s="241"/>
      <c r="F42" s="241"/>
      <c r="G42" s="241"/>
      <c r="H42" s="226"/>
      <c r="I42" s="229"/>
    </row>
    <row r="43" spans="3:9" x14ac:dyDescent="0.3">
      <c r="C43" s="241"/>
      <c r="D43" s="241"/>
      <c r="E43" s="241"/>
      <c r="F43" s="241"/>
      <c r="G43" s="241"/>
      <c r="H43" s="226"/>
      <c r="I43" s="229"/>
    </row>
    <row r="44" spans="3:9" x14ac:dyDescent="0.3">
      <c r="C44" s="241"/>
      <c r="D44" s="241"/>
      <c r="E44" s="241"/>
      <c r="F44" s="241"/>
      <c r="G44" s="241"/>
      <c r="H44" s="226"/>
      <c r="I44" s="229"/>
    </row>
    <row r="45" spans="3:9" x14ac:dyDescent="0.3">
      <c r="C45" s="241"/>
      <c r="D45" s="241"/>
      <c r="E45" s="241"/>
      <c r="F45" s="241"/>
      <c r="G45" s="241"/>
      <c r="H45" s="226"/>
      <c r="I45" s="229"/>
    </row>
    <row r="46" spans="3:9" x14ac:dyDescent="0.3">
      <c r="C46" s="241"/>
      <c r="D46" s="241"/>
      <c r="E46" s="241"/>
      <c r="F46" s="241"/>
      <c r="G46" s="241"/>
      <c r="H46" s="226"/>
      <c r="I46" s="229"/>
    </row>
    <row r="47" spans="3:9" x14ac:dyDescent="0.3">
      <c r="C47" s="241"/>
      <c r="D47" s="241"/>
      <c r="E47" s="241"/>
      <c r="F47" s="241"/>
      <c r="G47" s="241"/>
      <c r="H47" s="226"/>
      <c r="I47" s="229"/>
    </row>
    <row r="48" spans="3:9" x14ac:dyDescent="0.3">
      <c r="C48" s="241"/>
      <c r="D48" s="241"/>
      <c r="E48" s="241"/>
      <c r="F48" s="241"/>
      <c r="G48" s="241"/>
      <c r="H48" s="226"/>
      <c r="I48" s="229"/>
    </row>
    <row r="49" spans="3:9" x14ac:dyDescent="0.3">
      <c r="C49" s="241"/>
      <c r="D49" s="241"/>
      <c r="E49" s="241"/>
      <c r="F49" s="241"/>
      <c r="G49" s="241"/>
      <c r="H49" s="226"/>
      <c r="I49" s="229"/>
    </row>
    <row r="50" spans="3:9" x14ac:dyDescent="0.3">
      <c r="C50" s="241"/>
      <c r="D50" s="241"/>
      <c r="E50" s="241"/>
      <c r="F50" s="241"/>
      <c r="G50" s="241"/>
      <c r="H50" s="226"/>
      <c r="I50" s="229"/>
    </row>
    <row r="51" spans="3:9" x14ac:dyDescent="0.3">
      <c r="C51" s="241"/>
      <c r="D51" s="241"/>
      <c r="E51" s="241"/>
      <c r="F51" s="241"/>
      <c r="G51" s="241"/>
      <c r="H51" s="226"/>
      <c r="I51" s="229"/>
    </row>
    <row r="52" spans="3:9" x14ac:dyDescent="0.3">
      <c r="C52" s="241"/>
      <c r="D52" s="241"/>
      <c r="E52" s="241"/>
      <c r="F52" s="241"/>
      <c r="G52" s="241"/>
      <c r="H52" s="226"/>
      <c r="I52" s="229"/>
    </row>
    <row r="53" spans="3:9" x14ac:dyDescent="0.3">
      <c r="C53" s="241"/>
      <c r="D53" s="241"/>
      <c r="E53" s="241"/>
      <c r="F53" s="241"/>
      <c r="G53" s="241"/>
      <c r="H53" s="226"/>
      <c r="I53" s="229"/>
    </row>
    <row r="54" spans="3:9" x14ac:dyDescent="0.3">
      <c r="C54" s="241"/>
      <c r="D54" s="241"/>
      <c r="E54" s="241"/>
      <c r="F54" s="241"/>
      <c r="G54" s="241"/>
      <c r="H54" s="226"/>
      <c r="I54" s="229"/>
    </row>
    <row r="55" spans="3:9" x14ac:dyDescent="0.3">
      <c r="C55" s="241"/>
      <c r="D55" s="241"/>
      <c r="E55" s="241"/>
      <c r="F55" s="241"/>
      <c r="G55" s="241"/>
      <c r="H55" s="226"/>
      <c r="I55" s="229"/>
    </row>
    <row r="56" spans="3:9" x14ac:dyDescent="0.3">
      <c r="C56" s="241"/>
      <c r="D56" s="241"/>
      <c r="E56" s="241"/>
      <c r="F56" s="241"/>
      <c r="G56" s="241"/>
      <c r="H56" s="226"/>
      <c r="I56" s="229"/>
    </row>
    <row r="57" spans="3:9" x14ac:dyDescent="0.3">
      <c r="C57" s="241"/>
      <c r="D57" s="241"/>
      <c r="E57" s="241"/>
      <c r="F57" s="241"/>
      <c r="G57" s="241"/>
      <c r="H57" s="226"/>
      <c r="I57" s="229"/>
    </row>
    <row r="58" spans="3:9" x14ac:dyDescent="0.3">
      <c r="C58" s="241"/>
      <c r="D58" s="241"/>
      <c r="E58" s="241"/>
      <c r="F58" s="241"/>
      <c r="G58" s="241"/>
      <c r="H58" s="226"/>
      <c r="I58" s="229"/>
    </row>
    <row r="59" spans="3:9" x14ac:dyDescent="0.3">
      <c r="C59" s="241"/>
      <c r="D59" s="241"/>
      <c r="E59" s="241"/>
      <c r="F59" s="241"/>
      <c r="G59" s="241"/>
      <c r="H59" s="226"/>
      <c r="I59" s="229"/>
    </row>
    <row r="60" spans="3:9" x14ac:dyDescent="0.3">
      <c r="C60" s="241"/>
      <c r="D60" s="241"/>
      <c r="E60" s="241"/>
      <c r="F60" s="241"/>
      <c r="G60" s="241"/>
      <c r="H60" s="226"/>
      <c r="I60" s="229"/>
    </row>
    <row r="61" spans="3:9" x14ac:dyDescent="0.3">
      <c r="C61" s="241"/>
      <c r="D61" s="241"/>
      <c r="E61" s="241"/>
      <c r="F61" s="241"/>
      <c r="G61" s="241"/>
      <c r="H61" s="226"/>
      <c r="I61" s="229"/>
    </row>
  </sheetData>
  <mergeCells count="3">
    <mergeCell ref="Q1:Q6"/>
    <mergeCell ref="B2:C2"/>
    <mergeCell ref="C9:D9"/>
  </mergeCells>
  <phoneticPr fontId="23" type="noConversion"/>
  <dataValidations count="5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1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  <dataValidation allowBlank="1" showInputMessage="1" showErrorMessage="1" promptTitle="Nombre de conexion" prompt="¡IMPORTANTE!_x000a_El nombre de conexion tiene que ser identico al de TIA PORTAL." sqref="N12" xr:uid="{A6659825-D297-4F70-8B76-141EB0534F95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92C4-1FA1-40A3-B1A7-BE3BD1CAA306}">
  <sheetPr codeName="Hoja7">
    <pageSetUpPr fitToPage="1"/>
  </sheetPr>
  <dimension ref="A1:L99"/>
  <sheetViews>
    <sheetView showGridLines="0" zoomScaleNormal="100" workbookViewId="0">
      <pane ySplit="9" topLeftCell="A31" activePane="bottomLeft" state="frozen"/>
      <selection pane="bottomLeft" activeCell="C10" sqref="C10:K9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7.85546875" style="47" bestFit="1" customWidth="1"/>
    <col min="5" max="5" width="13.42578125" style="89" customWidth="1"/>
    <col min="6" max="6" width="15.7109375" style="47" bestFit="1" customWidth="1"/>
    <col min="7" max="7" width="17.140625" style="62" customWidth="1"/>
    <col min="8" max="8" width="95.85546875" style="62" customWidth="1"/>
    <col min="9" max="9" width="37.28515625" style="215" customWidth="1"/>
    <col min="10" max="10" width="15.140625" style="47" customWidth="1"/>
    <col min="11" max="11" width="55.570312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46"/>
      <c r="E1" s="86"/>
      <c r="F1" s="46"/>
      <c r="G1" s="52"/>
      <c r="H1" s="52"/>
      <c r="I1" s="64"/>
      <c r="J1" s="64"/>
      <c r="K1" s="202"/>
      <c r="L1" s="261"/>
    </row>
    <row r="2" spans="1:12" ht="16.5" customHeight="1" x14ac:dyDescent="0.35">
      <c r="A2" s="48"/>
      <c r="B2" s="262">
        <f>PORTADA!D46</f>
        <v>26000</v>
      </c>
      <c r="C2" s="262"/>
      <c r="D2" s="216"/>
      <c r="E2" s="87"/>
      <c r="F2" s="202"/>
      <c r="G2" s="60"/>
      <c r="H2" s="60"/>
      <c r="I2" s="216"/>
      <c r="J2" s="216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48"/>
      <c r="E3" s="88"/>
      <c r="F3" s="48"/>
      <c r="G3" s="61"/>
      <c r="H3" s="61"/>
      <c r="I3" s="227"/>
      <c r="J3" s="227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48"/>
      <c r="E4" s="88"/>
      <c r="F4" s="48"/>
      <c r="G4" s="61"/>
      <c r="H4" s="61"/>
      <c r="I4" s="227"/>
      <c r="J4" s="227"/>
      <c r="K4" s="202"/>
      <c r="L4" s="261"/>
    </row>
    <row r="5" spans="1:12" ht="12.75" customHeight="1" x14ac:dyDescent="0.35">
      <c r="A5" s="46"/>
      <c r="B5" s="46"/>
      <c r="C5" s="52"/>
      <c r="D5" s="52"/>
      <c r="E5" s="86"/>
      <c r="F5" s="52"/>
      <c r="G5" s="52"/>
      <c r="H5" s="52"/>
      <c r="I5" s="64"/>
      <c r="J5" s="64"/>
      <c r="K5" s="202"/>
      <c r="L5" s="261"/>
    </row>
    <row r="6" spans="1:12" ht="18" customHeight="1" x14ac:dyDescent="0.35">
      <c r="A6" s="46"/>
      <c r="B6" s="53" t="s">
        <v>2049</v>
      </c>
      <c r="C6" s="51"/>
      <c r="D6" s="51"/>
      <c r="E6" s="87"/>
      <c r="F6" s="51"/>
      <c r="G6" s="60"/>
      <c r="H6" s="60"/>
      <c r="I6" s="216"/>
      <c r="J6" s="216"/>
      <c r="K6" s="202"/>
      <c r="L6" s="261"/>
    </row>
    <row r="7" spans="1:12" ht="12.75" customHeight="1" x14ac:dyDescent="0.35">
      <c r="A7" s="46"/>
      <c r="B7" s="46"/>
      <c r="C7" s="52"/>
      <c r="D7" s="52"/>
      <c r="E7" s="86"/>
      <c r="F7" s="86"/>
      <c r="G7" s="209"/>
      <c r="H7" s="209"/>
      <c r="I7" s="228"/>
      <c r="J7" s="228"/>
      <c r="K7" s="202"/>
      <c r="L7" s="203" t="str">
        <f>PORTADA!E50</f>
        <v>V0.01</v>
      </c>
    </row>
    <row r="8" spans="1:12" x14ac:dyDescent="0.3">
      <c r="J8" s="215"/>
    </row>
    <row r="9" spans="1:12" x14ac:dyDescent="0.3">
      <c r="C9" s="204" t="s">
        <v>1080</v>
      </c>
      <c r="D9" s="256" t="s">
        <v>2112</v>
      </c>
      <c r="E9" s="210" t="s">
        <v>313</v>
      </c>
      <c r="F9" s="211" t="s">
        <v>1094</v>
      </c>
      <c r="G9" s="211" t="s">
        <v>2050</v>
      </c>
      <c r="H9" s="211" t="s">
        <v>419</v>
      </c>
      <c r="I9" s="211" t="s">
        <v>2051</v>
      </c>
      <c r="J9" s="211" t="s">
        <v>1676</v>
      </c>
      <c r="K9" s="234" t="s">
        <v>1677</v>
      </c>
    </row>
    <row r="10" spans="1:12" x14ac:dyDescent="0.3">
      <c r="C10" s="219" t="s">
        <v>2052</v>
      </c>
      <c r="D10" s="219">
        <v>100</v>
      </c>
      <c r="E10" s="221">
        <v>1</v>
      </c>
      <c r="F10" s="253" t="s">
        <v>233</v>
      </c>
      <c r="G10" s="225">
        <v>5</v>
      </c>
      <c r="H10" s="229"/>
      <c r="I10" s="229"/>
      <c r="J10" s="257" t="str">
        <f>Tabla_Etapas[[#This Row],[UID.Proceso]]&amp;"_ETAPA_"&amp;Tabla_Etapas[[#This Row],[Valor.Etapa]]</f>
        <v>100_ETAPA_5</v>
      </c>
      <c r="K10" s="220" t="str">
        <f>"ETAPA " &amp; Tabla_Etapas[[#This Row],[Valor.Etapa]] &amp; " - "  &amp; Tabla_Etapas[[#This Row],[Descripcion]]</f>
        <v xml:space="preserve">ETAPA 5 - </v>
      </c>
    </row>
    <row r="11" spans="1:12" x14ac:dyDescent="0.3">
      <c r="C11" s="219" t="s">
        <v>2053</v>
      </c>
      <c r="D11" s="219">
        <v>100</v>
      </c>
      <c r="E11" s="221">
        <v>2</v>
      </c>
      <c r="F11" s="253" t="s">
        <v>233</v>
      </c>
      <c r="G11" s="225">
        <v>10</v>
      </c>
      <c r="H11" s="229"/>
      <c r="I11" s="229"/>
      <c r="J11" s="257" t="str">
        <f>Tabla_Etapas[[#This Row],[UID.Proceso]]&amp;"_ETAPA_"&amp;Tabla_Etapas[[#This Row],[Valor.Etapa]]</f>
        <v>100_ETAPA_10</v>
      </c>
      <c r="K11" s="220" t="str">
        <f>"ETAPA " &amp; Tabla_Etapas[[#This Row],[Valor.Etapa]] &amp; " - "  &amp; Tabla_Etapas[[#This Row],[Descripcion]]</f>
        <v xml:space="preserve">ETAPA 10 - </v>
      </c>
    </row>
    <row r="12" spans="1:12" x14ac:dyDescent="0.3">
      <c r="C12" s="219" t="s">
        <v>2054</v>
      </c>
      <c r="D12" s="219">
        <v>100</v>
      </c>
      <c r="E12" s="221">
        <v>3</v>
      </c>
      <c r="F12" s="253" t="s">
        <v>233</v>
      </c>
      <c r="G12" s="225">
        <v>15</v>
      </c>
      <c r="H12" s="229"/>
      <c r="I12" s="229"/>
      <c r="J12" s="257" t="str">
        <f>Tabla_Etapas[[#This Row],[UID.Proceso]]&amp;"_ETAPA_"&amp;Tabla_Etapas[[#This Row],[Valor.Etapa]]</f>
        <v>100_ETAPA_15</v>
      </c>
      <c r="K12" s="220" t="str">
        <f>"ETAPA " &amp; Tabla_Etapas[[#This Row],[Valor.Etapa]] &amp; " - "  &amp; Tabla_Etapas[[#This Row],[Descripcion]]</f>
        <v xml:space="preserve">ETAPA 15 - </v>
      </c>
    </row>
    <row r="13" spans="1:12" x14ac:dyDescent="0.3">
      <c r="C13" s="219" t="s">
        <v>2055</v>
      </c>
      <c r="D13" s="219">
        <v>100</v>
      </c>
      <c r="E13" s="221">
        <v>4</v>
      </c>
      <c r="F13" s="253" t="s">
        <v>233</v>
      </c>
      <c r="G13" s="225">
        <v>20</v>
      </c>
      <c r="H13" s="229"/>
      <c r="I13" s="229"/>
      <c r="J13" s="257" t="str">
        <f>Tabla_Etapas[[#This Row],[UID.Proceso]]&amp;"_ETAPA_"&amp;Tabla_Etapas[[#This Row],[Valor.Etapa]]</f>
        <v>100_ETAPA_20</v>
      </c>
      <c r="K13" s="220" t="str">
        <f>"ETAPA " &amp; Tabla_Etapas[[#This Row],[Valor.Etapa]] &amp; " - "  &amp; Tabla_Etapas[[#This Row],[Descripcion]]</f>
        <v xml:space="preserve">ETAPA 20 - </v>
      </c>
    </row>
    <row r="14" spans="1:12" x14ac:dyDescent="0.3">
      <c r="C14" s="219" t="s">
        <v>2056</v>
      </c>
      <c r="D14" s="219">
        <v>100</v>
      </c>
      <c r="E14" s="221">
        <v>5</v>
      </c>
      <c r="F14" s="253" t="s">
        <v>233</v>
      </c>
      <c r="G14" s="225">
        <v>30</v>
      </c>
      <c r="H14" s="229"/>
      <c r="I14" s="229"/>
      <c r="J14" s="257" t="str">
        <f>Tabla_Etapas[[#This Row],[UID.Proceso]]&amp;"_ETAPA_"&amp;Tabla_Etapas[[#This Row],[Valor.Etapa]]</f>
        <v>100_ETAPA_30</v>
      </c>
      <c r="K14" s="220" t="str">
        <f>"ETAPA " &amp; Tabla_Etapas[[#This Row],[Valor.Etapa]] &amp; " - "  &amp; Tabla_Etapas[[#This Row],[Descripcion]]</f>
        <v xml:space="preserve">ETAPA 30 - </v>
      </c>
    </row>
    <row r="15" spans="1:12" x14ac:dyDescent="0.3">
      <c r="C15" s="219" t="s">
        <v>2057</v>
      </c>
      <c r="D15" s="219">
        <v>100</v>
      </c>
      <c r="E15" s="221">
        <v>6</v>
      </c>
      <c r="F15" s="253" t="s">
        <v>233</v>
      </c>
      <c r="G15" s="225">
        <v>100</v>
      </c>
      <c r="H15" s="229"/>
      <c r="I15" s="229"/>
      <c r="J15" s="257" t="str">
        <f>Tabla_Etapas[[#This Row],[UID.Proceso]]&amp;"_ETAPA_"&amp;Tabla_Etapas[[#This Row],[Valor.Etapa]]</f>
        <v>100_ETAPA_100</v>
      </c>
      <c r="K15" s="220" t="str">
        <f>"ETAPA " &amp; Tabla_Etapas[[#This Row],[Valor.Etapa]] &amp; " - "  &amp; Tabla_Etapas[[#This Row],[Descripcion]]</f>
        <v xml:space="preserve">ETAPA 100 - </v>
      </c>
    </row>
    <row r="16" spans="1:12" x14ac:dyDescent="0.3">
      <c r="C16" s="219" t="s">
        <v>2058</v>
      </c>
      <c r="D16" s="219">
        <v>100</v>
      </c>
      <c r="E16" s="221">
        <v>7</v>
      </c>
      <c r="F16" s="253" t="s">
        <v>233</v>
      </c>
      <c r="G16" s="225">
        <v>110</v>
      </c>
      <c r="H16" s="229"/>
      <c r="I16" s="229"/>
      <c r="J16" s="257" t="str">
        <f>Tabla_Etapas[[#This Row],[UID.Proceso]]&amp;"_ETAPA_"&amp;Tabla_Etapas[[#This Row],[Valor.Etapa]]</f>
        <v>100_ETAPA_110</v>
      </c>
      <c r="K16" s="220" t="str">
        <f>"ETAPA " &amp; Tabla_Etapas[[#This Row],[Valor.Etapa]] &amp; " - "  &amp; Tabla_Etapas[[#This Row],[Descripcion]]</f>
        <v xml:space="preserve">ETAPA 110 - </v>
      </c>
    </row>
    <row r="17" spans="3:11" x14ac:dyDescent="0.3">
      <c r="C17" s="219" t="s">
        <v>2059</v>
      </c>
      <c r="D17" s="219">
        <v>100</v>
      </c>
      <c r="E17" s="221">
        <v>8</v>
      </c>
      <c r="F17" s="253" t="s">
        <v>233</v>
      </c>
      <c r="G17" s="225">
        <v>120</v>
      </c>
      <c r="H17" s="229"/>
      <c r="I17" s="229"/>
      <c r="J17" s="257" t="str">
        <f>Tabla_Etapas[[#This Row],[UID.Proceso]]&amp;"_ETAPA_"&amp;Tabla_Etapas[[#This Row],[Valor.Etapa]]</f>
        <v>100_ETAPA_120</v>
      </c>
      <c r="K17" s="220" t="str">
        <f>"ETAPA " &amp; Tabla_Etapas[[#This Row],[Valor.Etapa]] &amp; " - "  &amp; Tabla_Etapas[[#This Row],[Descripcion]]</f>
        <v xml:space="preserve">ETAPA 120 - </v>
      </c>
    </row>
    <row r="18" spans="3:11" x14ac:dyDescent="0.3">
      <c r="C18" s="219" t="s">
        <v>2060</v>
      </c>
      <c r="D18" s="219">
        <v>100</v>
      </c>
      <c r="E18" s="221">
        <v>9</v>
      </c>
      <c r="F18" s="253" t="s">
        <v>233</v>
      </c>
      <c r="G18" s="225">
        <v>130</v>
      </c>
      <c r="H18" s="229"/>
      <c r="I18" s="229"/>
      <c r="J18" s="257" t="str">
        <f>Tabla_Etapas[[#This Row],[UID.Proceso]]&amp;"_ETAPA_"&amp;Tabla_Etapas[[#This Row],[Valor.Etapa]]</f>
        <v>100_ETAPA_130</v>
      </c>
      <c r="K18" s="220" t="str">
        <f>"ETAPA " &amp; Tabla_Etapas[[#This Row],[Valor.Etapa]] &amp; " - "  &amp; Tabla_Etapas[[#This Row],[Descripcion]]</f>
        <v xml:space="preserve">ETAPA 130 - </v>
      </c>
    </row>
    <row r="19" spans="3:11" x14ac:dyDescent="0.3">
      <c r="C19" s="219" t="s">
        <v>2061</v>
      </c>
      <c r="D19" s="219">
        <v>100</v>
      </c>
      <c r="E19" s="221">
        <v>10</v>
      </c>
      <c r="F19" s="253" t="s">
        <v>233</v>
      </c>
      <c r="G19" s="225">
        <v>140</v>
      </c>
      <c r="H19" s="229"/>
      <c r="I19" s="229"/>
      <c r="J19" s="257" t="str">
        <f>Tabla_Etapas[[#This Row],[UID.Proceso]]&amp;"_ETAPA_"&amp;Tabla_Etapas[[#This Row],[Valor.Etapa]]</f>
        <v>100_ETAPA_140</v>
      </c>
      <c r="K19" s="220" t="str">
        <f>"ETAPA " &amp; Tabla_Etapas[[#This Row],[Valor.Etapa]] &amp; " - "  &amp; Tabla_Etapas[[#This Row],[Descripcion]]</f>
        <v xml:space="preserve">ETAPA 140 - </v>
      </c>
    </row>
    <row r="20" spans="3:11" x14ac:dyDescent="0.3">
      <c r="C20" s="219" t="s">
        <v>2062</v>
      </c>
      <c r="D20" s="219">
        <v>100</v>
      </c>
      <c r="E20" s="221">
        <v>11</v>
      </c>
      <c r="F20" s="253" t="s">
        <v>233</v>
      </c>
      <c r="G20" s="225">
        <v>150</v>
      </c>
      <c r="H20" s="229"/>
      <c r="I20" s="229"/>
      <c r="J20" s="257" t="str">
        <f>Tabla_Etapas[[#This Row],[UID.Proceso]]&amp;"_ETAPA_"&amp;Tabla_Etapas[[#This Row],[Valor.Etapa]]</f>
        <v>100_ETAPA_150</v>
      </c>
      <c r="K20" s="220" t="str">
        <f>"ETAPA " &amp; Tabla_Etapas[[#This Row],[Valor.Etapa]] &amp; " - "  &amp; Tabla_Etapas[[#This Row],[Descripcion]]</f>
        <v xml:space="preserve">ETAPA 150 - </v>
      </c>
    </row>
    <row r="21" spans="3:11" x14ac:dyDescent="0.3">
      <c r="C21" s="219" t="s">
        <v>2063</v>
      </c>
      <c r="D21" s="219">
        <v>100</v>
      </c>
      <c r="E21" s="221">
        <v>12</v>
      </c>
      <c r="F21" s="253" t="s">
        <v>233</v>
      </c>
      <c r="G21" s="225">
        <v>200</v>
      </c>
      <c r="H21" s="229"/>
      <c r="I21" s="229"/>
      <c r="J21" s="257" t="str">
        <f>Tabla_Etapas[[#This Row],[UID.Proceso]]&amp;"_ETAPA_"&amp;Tabla_Etapas[[#This Row],[Valor.Etapa]]</f>
        <v>100_ETAPA_200</v>
      </c>
      <c r="K21" s="220" t="str">
        <f>"ETAPA " &amp; Tabla_Etapas[[#This Row],[Valor.Etapa]] &amp; " - "  &amp; Tabla_Etapas[[#This Row],[Descripcion]]</f>
        <v xml:space="preserve">ETAPA 200 - </v>
      </c>
    </row>
    <row r="22" spans="3:11" x14ac:dyDescent="0.3">
      <c r="C22" s="219" t="s">
        <v>2064</v>
      </c>
      <c r="D22" s="219">
        <v>100</v>
      </c>
      <c r="E22" s="221">
        <v>13</v>
      </c>
      <c r="F22" s="253" t="s">
        <v>233</v>
      </c>
      <c r="G22" s="225">
        <v>300</v>
      </c>
      <c r="H22" s="229"/>
      <c r="I22" s="229"/>
      <c r="J22" s="257" t="str">
        <f>Tabla_Etapas[[#This Row],[UID.Proceso]]&amp;"_ETAPA_"&amp;Tabla_Etapas[[#This Row],[Valor.Etapa]]</f>
        <v>100_ETAPA_300</v>
      </c>
      <c r="K22" s="220" t="str">
        <f>"ETAPA " &amp; Tabla_Etapas[[#This Row],[Valor.Etapa]] &amp; " - "  &amp; Tabla_Etapas[[#This Row],[Descripcion]]</f>
        <v xml:space="preserve">ETAPA 300 - </v>
      </c>
    </row>
    <row r="23" spans="3:11" x14ac:dyDescent="0.3">
      <c r="C23" s="219" t="s">
        <v>2065</v>
      </c>
      <c r="D23" s="219">
        <v>100</v>
      </c>
      <c r="E23" s="221">
        <v>14</v>
      </c>
      <c r="F23" s="253" t="s">
        <v>233</v>
      </c>
      <c r="G23" s="225">
        <v>310</v>
      </c>
      <c r="H23" s="229"/>
      <c r="I23" s="229"/>
      <c r="J23" s="257" t="str">
        <f>Tabla_Etapas[[#This Row],[UID.Proceso]]&amp;"_ETAPA_"&amp;Tabla_Etapas[[#This Row],[Valor.Etapa]]</f>
        <v>100_ETAPA_310</v>
      </c>
      <c r="K23" s="220" t="str">
        <f>"ETAPA " &amp; Tabla_Etapas[[#This Row],[Valor.Etapa]] &amp; " - "  &amp; Tabla_Etapas[[#This Row],[Descripcion]]</f>
        <v xml:space="preserve">ETAPA 310 - </v>
      </c>
    </row>
    <row r="24" spans="3:11" x14ac:dyDescent="0.3">
      <c r="C24" s="219" t="s">
        <v>2066</v>
      </c>
      <c r="D24" s="219">
        <v>100</v>
      </c>
      <c r="E24" s="221">
        <v>15</v>
      </c>
      <c r="F24" s="253" t="s">
        <v>233</v>
      </c>
      <c r="G24" s="225">
        <v>500</v>
      </c>
      <c r="H24" s="229"/>
      <c r="I24" s="229"/>
      <c r="J24" s="257" t="str">
        <f>Tabla_Etapas[[#This Row],[UID.Proceso]]&amp;"_ETAPA_"&amp;Tabla_Etapas[[#This Row],[Valor.Etapa]]</f>
        <v>100_ETAPA_500</v>
      </c>
      <c r="K24" s="220" t="str">
        <f>"ETAPA " &amp; Tabla_Etapas[[#This Row],[Valor.Etapa]] &amp; " - "  &amp; Tabla_Etapas[[#This Row],[Descripcion]]</f>
        <v xml:space="preserve">ETAPA 500 - </v>
      </c>
    </row>
    <row r="25" spans="3:11" x14ac:dyDescent="0.3">
      <c r="C25" s="219" t="s">
        <v>2067</v>
      </c>
      <c r="D25" s="219">
        <v>110</v>
      </c>
      <c r="E25" s="221">
        <v>1</v>
      </c>
      <c r="F25" s="254" t="s">
        <v>238</v>
      </c>
      <c r="G25" s="225">
        <v>1</v>
      </c>
      <c r="H25" s="229"/>
      <c r="I25" s="229"/>
      <c r="J25" s="257" t="str">
        <f>Tabla_Etapas[[#This Row],[UID.Proceso]]&amp;"_ETAPA_"&amp;Tabla_Etapas[[#This Row],[Valor.Etapa]]</f>
        <v>110_ETAPA_1</v>
      </c>
      <c r="K25" s="220" t="str">
        <f>"ETAPA " &amp; Tabla_Etapas[[#This Row],[Valor.Etapa]] &amp; " - "  &amp; Tabla_Etapas[[#This Row],[Descripcion]]</f>
        <v xml:space="preserve">ETAPA 1 - </v>
      </c>
    </row>
    <row r="26" spans="3:11" x14ac:dyDescent="0.3">
      <c r="C26" s="219" t="s">
        <v>2068</v>
      </c>
      <c r="D26" s="219">
        <v>110</v>
      </c>
      <c r="E26" s="221">
        <v>2</v>
      </c>
      <c r="F26" s="254" t="s">
        <v>238</v>
      </c>
      <c r="G26" s="225">
        <v>2</v>
      </c>
      <c r="H26" s="229"/>
      <c r="I26" s="229"/>
      <c r="J26" s="257" t="str">
        <f>Tabla_Etapas[[#This Row],[UID.Proceso]]&amp;"_ETAPA_"&amp;Tabla_Etapas[[#This Row],[Valor.Etapa]]</f>
        <v>110_ETAPA_2</v>
      </c>
      <c r="K26" s="220" t="str">
        <f>"ETAPA " &amp; Tabla_Etapas[[#This Row],[Valor.Etapa]] &amp; " - "  &amp; Tabla_Etapas[[#This Row],[Descripcion]]</f>
        <v xml:space="preserve">ETAPA 2 - </v>
      </c>
    </row>
    <row r="27" spans="3:11" x14ac:dyDescent="0.3">
      <c r="C27" s="219" t="s">
        <v>2069</v>
      </c>
      <c r="D27" s="219">
        <v>110</v>
      </c>
      <c r="E27" s="221">
        <v>3</v>
      </c>
      <c r="F27" s="254" t="s">
        <v>238</v>
      </c>
      <c r="G27" s="225">
        <v>3</v>
      </c>
      <c r="H27" s="229"/>
      <c r="I27" s="229"/>
      <c r="J27" s="257" t="str">
        <f>Tabla_Etapas[[#This Row],[UID.Proceso]]&amp;"_ETAPA_"&amp;Tabla_Etapas[[#This Row],[Valor.Etapa]]</f>
        <v>110_ETAPA_3</v>
      </c>
      <c r="K27" s="220" t="str">
        <f>"ETAPA " &amp; Tabla_Etapas[[#This Row],[Valor.Etapa]] &amp; " - "  &amp; Tabla_Etapas[[#This Row],[Descripcion]]</f>
        <v xml:space="preserve">ETAPA 3 - </v>
      </c>
    </row>
    <row r="28" spans="3:11" x14ac:dyDescent="0.3">
      <c r="C28" s="219" t="s">
        <v>2070</v>
      </c>
      <c r="D28" s="219">
        <v>110</v>
      </c>
      <c r="E28" s="221">
        <v>4</v>
      </c>
      <c r="F28" s="254" t="s">
        <v>238</v>
      </c>
      <c r="G28" s="225">
        <v>4</v>
      </c>
      <c r="H28" s="229"/>
      <c r="I28" s="229"/>
      <c r="J28" s="257" t="str">
        <f>Tabla_Etapas[[#This Row],[UID.Proceso]]&amp;"_ETAPA_"&amp;Tabla_Etapas[[#This Row],[Valor.Etapa]]</f>
        <v>110_ETAPA_4</v>
      </c>
      <c r="K28" s="220" t="str">
        <f>"ETAPA " &amp; Tabla_Etapas[[#This Row],[Valor.Etapa]] &amp; " - "  &amp; Tabla_Etapas[[#This Row],[Descripcion]]</f>
        <v xml:space="preserve">ETAPA 4 - </v>
      </c>
    </row>
    <row r="29" spans="3:11" x14ac:dyDescent="0.3">
      <c r="C29" s="219" t="s">
        <v>2071</v>
      </c>
      <c r="D29" s="219">
        <v>110</v>
      </c>
      <c r="E29" s="221">
        <v>5</v>
      </c>
      <c r="F29" s="254" t="s">
        <v>238</v>
      </c>
      <c r="G29" s="225">
        <v>5</v>
      </c>
      <c r="H29" s="229"/>
      <c r="I29" s="229"/>
      <c r="J29" s="257" t="str">
        <f>Tabla_Etapas[[#This Row],[UID.Proceso]]&amp;"_ETAPA_"&amp;Tabla_Etapas[[#This Row],[Valor.Etapa]]</f>
        <v>110_ETAPA_5</v>
      </c>
      <c r="K29" s="220" t="str">
        <f>"ETAPA " &amp; Tabla_Etapas[[#This Row],[Valor.Etapa]] &amp; " - "  &amp; Tabla_Etapas[[#This Row],[Descripcion]]</f>
        <v xml:space="preserve">ETAPA 5 - </v>
      </c>
    </row>
    <row r="30" spans="3:11" x14ac:dyDescent="0.3">
      <c r="C30" s="219" t="s">
        <v>2072</v>
      </c>
      <c r="D30" s="219">
        <v>110</v>
      </c>
      <c r="E30" s="221">
        <v>6</v>
      </c>
      <c r="F30" s="254" t="s">
        <v>238</v>
      </c>
      <c r="G30" s="225">
        <v>6</v>
      </c>
      <c r="H30" s="229"/>
      <c r="I30" s="229"/>
      <c r="J30" s="257" t="str">
        <f>Tabla_Etapas[[#This Row],[UID.Proceso]]&amp;"_ETAPA_"&amp;Tabla_Etapas[[#This Row],[Valor.Etapa]]</f>
        <v>110_ETAPA_6</v>
      </c>
      <c r="K30" s="220" t="str">
        <f>"ETAPA " &amp; Tabla_Etapas[[#This Row],[Valor.Etapa]] &amp; " - "  &amp; Tabla_Etapas[[#This Row],[Descripcion]]</f>
        <v xml:space="preserve">ETAPA 6 - </v>
      </c>
    </row>
    <row r="31" spans="3:11" x14ac:dyDescent="0.3">
      <c r="C31" s="219" t="s">
        <v>2073</v>
      </c>
      <c r="D31" s="219">
        <v>110</v>
      </c>
      <c r="E31" s="221">
        <v>7</v>
      </c>
      <c r="F31" s="254" t="s">
        <v>238</v>
      </c>
      <c r="G31" s="225">
        <v>7</v>
      </c>
      <c r="H31" s="229"/>
      <c r="I31" s="229"/>
      <c r="J31" s="257" t="str">
        <f>Tabla_Etapas[[#This Row],[UID.Proceso]]&amp;"_ETAPA_"&amp;Tabla_Etapas[[#This Row],[Valor.Etapa]]</f>
        <v>110_ETAPA_7</v>
      </c>
      <c r="K31" s="220" t="str">
        <f>"ETAPA " &amp; Tabla_Etapas[[#This Row],[Valor.Etapa]] &amp; " - "  &amp; Tabla_Etapas[[#This Row],[Descripcion]]</f>
        <v xml:space="preserve">ETAPA 7 - </v>
      </c>
    </row>
    <row r="32" spans="3:11" x14ac:dyDescent="0.3">
      <c r="C32" s="219" t="s">
        <v>2074</v>
      </c>
      <c r="D32" s="219">
        <v>110</v>
      </c>
      <c r="E32" s="221">
        <v>8</v>
      </c>
      <c r="F32" s="254" t="s">
        <v>238</v>
      </c>
      <c r="G32" s="225">
        <v>8</v>
      </c>
      <c r="H32" s="229"/>
      <c r="I32" s="229"/>
      <c r="J32" s="257" t="str">
        <f>Tabla_Etapas[[#This Row],[UID.Proceso]]&amp;"_ETAPA_"&amp;Tabla_Etapas[[#This Row],[Valor.Etapa]]</f>
        <v>110_ETAPA_8</v>
      </c>
      <c r="K32" s="220" t="str">
        <f>"ETAPA " &amp; Tabla_Etapas[[#This Row],[Valor.Etapa]] &amp; " - "  &amp; Tabla_Etapas[[#This Row],[Descripcion]]</f>
        <v xml:space="preserve">ETAPA 8 - </v>
      </c>
    </row>
    <row r="33" spans="3:11" x14ac:dyDescent="0.3">
      <c r="C33" s="219" t="s">
        <v>2075</v>
      </c>
      <c r="D33" s="219">
        <v>110</v>
      </c>
      <c r="E33" s="221">
        <v>9</v>
      </c>
      <c r="F33" s="254" t="s">
        <v>238</v>
      </c>
      <c r="G33" s="225">
        <v>9</v>
      </c>
      <c r="H33" s="229"/>
      <c r="I33" s="229"/>
      <c r="J33" s="257" t="str">
        <f>Tabla_Etapas[[#This Row],[UID.Proceso]]&amp;"_ETAPA_"&amp;Tabla_Etapas[[#This Row],[Valor.Etapa]]</f>
        <v>110_ETAPA_9</v>
      </c>
      <c r="K33" s="220" t="str">
        <f>"ETAPA " &amp; Tabla_Etapas[[#This Row],[Valor.Etapa]] &amp; " - "  &amp; Tabla_Etapas[[#This Row],[Descripcion]]</f>
        <v xml:space="preserve">ETAPA 9 - </v>
      </c>
    </row>
    <row r="34" spans="3:11" x14ac:dyDescent="0.3">
      <c r="C34" s="219" t="s">
        <v>2076</v>
      </c>
      <c r="D34" s="219">
        <v>110</v>
      </c>
      <c r="E34" s="221">
        <v>10</v>
      </c>
      <c r="F34" s="254" t="s">
        <v>238</v>
      </c>
      <c r="G34" s="225">
        <v>10</v>
      </c>
      <c r="H34" s="229"/>
      <c r="I34" s="229"/>
      <c r="J34" s="257" t="str">
        <f>Tabla_Etapas[[#This Row],[UID.Proceso]]&amp;"_ETAPA_"&amp;Tabla_Etapas[[#This Row],[Valor.Etapa]]</f>
        <v>110_ETAPA_10</v>
      </c>
      <c r="K34" s="220" t="str">
        <f>"ETAPA " &amp; Tabla_Etapas[[#This Row],[Valor.Etapa]] &amp; " - "  &amp; Tabla_Etapas[[#This Row],[Descripcion]]</f>
        <v xml:space="preserve">ETAPA 10 - </v>
      </c>
    </row>
    <row r="35" spans="3:11" x14ac:dyDescent="0.3">
      <c r="C35" s="219" t="s">
        <v>2699</v>
      </c>
      <c r="D35" s="219">
        <v>150</v>
      </c>
      <c r="E35" s="221">
        <v>1</v>
      </c>
      <c r="F35" s="259" t="s">
        <v>2596</v>
      </c>
      <c r="G35" s="225">
        <v>1</v>
      </c>
      <c r="H35" s="229"/>
      <c r="I35" s="229"/>
      <c r="J35" s="257" t="str">
        <f>Tabla_Etapas[[#This Row],[UID.Proceso]]&amp;"_ETAPA_"&amp;Tabla_Etapas[[#This Row],[Valor.Etapa]]</f>
        <v>150_ETAPA_1</v>
      </c>
      <c r="K35" s="220" t="str">
        <f>"ETAPA " &amp; Tabla_Etapas[[#This Row],[Valor.Etapa]] &amp; " - "  &amp; Tabla_Etapas[[#This Row],[Descripcion]]</f>
        <v xml:space="preserve">ETAPA 1 - </v>
      </c>
    </row>
    <row r="36" spans="3:11" x14ac:dyDescent="0.3">
      <c r="C36" s="219" t="s">
        <v>2700</v>
      </c>
      <c r="D36" s="219">
        <v>150</v>
      </c>
      <c r="E36" s="221">
        <v>2</v>
      </c>
      <c r="F36" s="259" t="s">
        <v>2596</v>
      </c>
      <c r="G36" s="225">
        <v>2</v>
      </c>
      <c r="H36" s="229"/>
      <c r="I36" s="229"/>
      <c r="J36" s="257" t="str">
        <f>Tabla_Etapas[[#This Row],[UID.Proceso]]&amp;"_ETAPA_"&amp;Tabla_Etapas[[#This Row],[Valor.Etapa]]</f>
        <v>150_ETAPA_2</v>
      </c>
      <c r="K36" s="220" t="str">
        <f>"ETAPA " &amp; Tabla_Etapas[[#This Row],[Valor.Etapa]] &amp; " - "  &amp; Tabla_Etapas[[#This Row],[Descripcion]]</f>
        <v xml:space="preserve">ETAPA 2 - </v>
      </c>
    </row>
    <row r="37" spans="3:11" x14ac:dyDescent="0.3">
      <c r="C37" s="219" t="s">
        <v>2701</v>
      </c>
      <c r="D37" s="219">
        <v>150</v>
      </c>
      <c r="E37" s="221">
        <v>3</v>
      </c>
      <c r="F37" s="259" t="s">
        <v>2596</v>
      </c>
      <c r="G37" s="225">
        <v>3</v>
      </c>
      <c r="H37" s="229"/>
      <c r="I37" s="229"/>
      <c r="J37" s="257" t="str">
        <f>Tabla_Etapas[[#This Row],[UID.Proceso]]&amp;"_ETAPA_"&amp;Tabla_Etapas[[#This Row],[Valor.Etapa]]</f>
        <v>150_ETAPA_3</v>
      </c>
      <c r="K37" s="220" t="str">
        <f>"ETAPA " &amp; Tabla_Etapas[[#This Row],[Valor.Etapa]] &amp; " - "  &amp; Tabla_Etapas[[#This Row],[Descripcion]]</f>
        <v xml:space="preserve">ETAPA 3 - </v>
      </c>
    </row>
    <row r="38" spans="3:11" x14ac:dyDescent="0.3">
      <c r="C38" s="219" t="s">
        <v>2702</v>
      </c>
      <c r="D38" s="219">
        <v>150</v>
      </c>
      <c r="E38" s="221">
        <v>4</v>
      </c>
      <c r="F38" s="259" t="s">
        <v>2596</v>
      </c>
      <c r="G38" s="225">
        <v>4</v>
      </c>
      <c r="H38" s="229"/>
      <c r="I38" s="229"/>
      <c r="J38" s="257" t="str">
        <f>Tabla_Etapas[[#This Row],[UID.Proceso]]&amp;"_ETAPA_"&amp;Tabla_Etapas[[#This Row],[Valor.Etapa]]</f>
        <v>150_ETAPA_4</v>
      </c>
      <c r="K38" s="220" t="str">
        <f>"ETAPA " &amp; Tabla_Etapas[[#This Row],[Valor.Etapa]] &amp; " - "  &amp; Tabla_Etapas[[#This Row],[Descripcion]]</f>
        <v xml:space="preserve">ETAPA 4 - </v>
      </c>
    </row>
    <row r="39" spans="3:11" x14ac:dyDescent="0.3">
      <c r="C39" s="219" t="s">
        <v>2703</v>
      </c>
      <c r="D39" s="219">
        <v>150</v>
      </c>
      <c r="E39" s="221">
        <v>5</v>
      </c>
      <c r="F39" s="259" t="s">
        <v>2596</v>
      </c>
      <c r="G39" s="225">
        <v>5</v>
      </c>
      <c r="H39" s="229"/>
      <c r="I39" s="229"/>
      <c r="J39" s="257" t="str">
        <f>Tabla_Etapas[[#This Row],[UID.Proceso]]&amp;"_ETAPA_"&amp;Tabla_Etapas[[#This Row],[Valor.Etapa]]</f>
        <v>150_ETAPA_5</v>
      </c>
      <c r="K39" s="220" t="str">
        <f>"ETAPA " &amp; Tabla_Etapas[[#This Row],[Valor.Etapa]] &amp; " - "  &amp; Tabla_Etapas[[#This Row],[Descripcion]]</f>
        <v xml:space="preserve">ETAPA 5 - </v>
      </c>
    </row>
    <row r="40" spans="3:11" x14ac:dyDescent="0.3">
      <c r="C40" s="219" t="s">
        <v>2704</v>
      </c>
      <c r="D40" s="219">
        <v>150</v>
      </c>
      <c r="E40" s="221">
        <v>6</v>
      </c>
      <c r="F40" s="259" t="s">
        <v>2596</v>
      </c>
      <c r="G40" s="225">
        <v>6</v>
      </c>
      <c r="H40" s="229"/>
      <c r="I40" s="229"/>
      <c r="J40" s="257" t="str">
        <f>Tabla_Etapas[[#This Row],[UID.Proceso]]&amp;"_ETAPA_"&amp;Tabla_Etapas[[#This Row],[Valor.Etapa]]</f>
        <v>150_ETAPA_6</v>
      </c>
      <c r="K40" s="220" t="str">
        <f>"ETAPA " &amp; Tabla_Etapas[[#This Row],[Valor.Etapa]] &amp; " - "  &amp; Tabla_Etapas[[#This Row],[Descripcion]]</f>
        <v xml:space="preserve">ETAPA 6 - </v>
      </c>
    </row>
    <row r="41" spans="3:11" x14ac:dyDescent="0.3">
      <c r="C41" s="219" t="s">
        <v>2705</v>
      </c>
      <c r="D41" s="219">
        <v>150</v>
      </c>
      <c r="E41" s="221">
        <v>7</v>
      </c>
      <c r="F41" s="259" t="s">
        <v>2596</v>
      </c>
      <c r="G41" s="225">
        <v>7</v>
      </c>
      <c r="H41" s="229"/>
      <c r="I41" s="229"/>
      <c r="J41" s="257" t="str">
        <f>Tabla_Etapas[[#This Row],[UID.Proceso]]&amp;"_ETAPA_"&amp;Tabla_Etapas[[#This Row],[Valor.Etapa]]</f>
        <v>150_ETAPA_7</v>
      </c>
      <c r="K41" s="220" t="str">
        <f>"ETAPA " &amp; Tabla_Etapas[[#This Row],[Valor.Etapa]] &amp; " - "  &amp; Tabla_Etapas[[#This Row],[Descripcion]]</f>
        <v xml:space="preserve">ETAPA 7 - </v>
      </c>
    </row>
    <row r="42" spans="3:11" x14ac:dyDescent="0.3">
      <c r="C42" s="219" t="s">
        <v>2706</v>
      </c>
      <c r="D42" s="219">
        <v>150</v>
      </c>
      <c r="E42" s="221">
        <v>8</v>
      </c>
      <c r="F42" s="259" t="s">
        <v>2596</v>
      </c>
      <c r="G42" s="225">
        <v>8</v>
      </c>
      <c r="H42" s="229"/>
      <c r="I42" s="229"/>
      <c r="J42" s="257" t="str">
        <f>Tabla_Etapas[[#This Row],[UID.Proceso]]&amp;"_ETAPA_"&amp;Tabla_Etapas[[#This Row],[Valor.Etapa]]</f>
        <v>150_ETAPA_8</v>
      </c>
      <c r="K42" s="220" t="str">
        <f>"ETAPA " &amp; Tabla_Etapas[[#This Row],[Valor.Etapa]] &amp; " - "  &amp; Tabla_Etapas[[#This Row],[Descripcion]]</f>
        <v xml:space="preserve">ETAPA 8 - </v>
      </c>
    </row>
    <row r="43" spans="3:11" x14ac:dyDescent="0.3">
      <c r="C43" s="219" t="s">
        <v>2707</v>
      </c>
      <c r="D43" s="219">
        <v>150</v>
      </c>
      <c r="E43" s="221">
        <v>9</v>
      </c>
      <c r="F43" s="259" t="s">
        <v>2596</v>
      </c>
      <c r="G43" s="225">
        <v>9</v>
      </c>
      <c r="H43" s="229"/>
      <c r="I43" s="229"/>
      <c r="J43" s="257" t="str">
        <f>Tabla_Etapas[[#This Row],[UID.Proceso]]&amp;"_ETAPA_"&amp;Tabla_Etapas[[#This Row],[Valor.Etapa]]</f>
        <v>150_ETAPA_9</v>
      </c>
      <c r="K43" s="220" t="str">
        <f>"ETAPA " &amp; Tabla_Etapas[[#This Row],[Valor.Etapa]] &amp; " - "  &amp; Tabla_Etapas[[#This Row],[Descripcion]]</f>
        <v xml:space="preserve">ETAPA 9 - </v>
      </c>
    </row>
    <row r="44" spans="3:11" x14ac:dyDescent="0.3">
      <c r="C44" s="219" t="s">
        <v>2708</v>
      </c>
      <c r="D44" s="219">
        <v>150</v>
      </c>
      <c r="E44" s="221">
        <v>10</v>
      </c>
      <c r="F44" s="259" t="s">
        <v>2596</v>
      </c>
      <c r="G44" s="225">
        <v>10</v>
      </c>
      <c r="H44" s="229"/>
      <c r="I44" s="229"/>
      <c r="J44" s="257" t="str">
        <f>Tabla_Etapas[[#This Row],[UID.Proceso]]&amp;"_ETAPA_"&amp;Tabla_Etapas[[#This Row],[Valor.Etapa]]</f>
        <v>150_ETAPA_10</v>
      </c>
      <c r="K44" s="220" t="str">
        <f>"ETAPA " &amp; Tabla_Etapas[[#This Row],[Valor.Etapa]] &amp; " - "  &amp; Tabla_Etapas[[#This Row],[Descripcion]]</f>
        <v xml:space="preserve">ETAPA 10 - </v>
      </c>
    </row>
    <row r="45" spans="3:11" x14ac:dyDescent="0.3">
      <c r="C45" s="219" t="s">
        <v>2709</v>
      </c>
      <c r="D45" s="219">
        <v>150</v>
      </c>
      <c r="E45" s="221">
        <v>11</v>
      </c>
      <c r="F45" s="259" t="s">
        <v>2596</v>
      </c>
      <c r="G45" s="225">
        <v>11</v>
      </c>
      <c r="H45" s="229"/>
      <c r="I45" s="229"/>
      <c r="J45" s="257" t="str">
        <f>Tabla_Etapas[[#This Row],[UID.Proceso]]&amp;"_ETAPA_"&amp;Tabla_Etapas[[#This Row],[Valor.Etapa]]</f>
        <v>150_ETAPA_11</v>
      </c>
      <c r="K45" s="220" t="str">
        <f>"ETAPA " &amp; Tabla_Etapas[[#This Row],[Valor.Etapa]] &amp; " - "  &amp; Tabla_Etapas[[#This Row],[Descripcion]]</f>
        <v xml:space="preserve">ETAPA 11 - </v>
      </c>
    </row>
    <row r="46" spans="3:11" x14ac:dyDescent="0.3">
      <c r="C46" s="219" t="s">
        <v>2710</v>
      </c>
      <c r="D46" s="219">
        <v>150</v>
      </c>
      <c r="E46" s="221">
        <v>12</v>
      </c>
      <c r="F46" s="259" t="s">
        <v>2596</v>
      </c>
      <c r="G46" s="225">
        <v>12</v>
      </c>
      <c r="H46" s="229"/>
      <c r="I46" s="229"/>
      <c r="J46" s="257" t="str">
        <f>Tabla_Etapas[[#This Row],[UID.Proceso]]&amp;"_ETAPA_"&amp;Tabla_Etapas[[#This Row],[Valor.Etapa]]</f>
        <v>150_ETAPA_12</v>
      </c>
      <c r="K46" s="220" t="str">
        <f>"ETAPA " &amp; Tabla_Etapas[[#This Row],[Valor.Etapa]] &amp; " - "  &amp; Tabla_Etapas[[#This Row],[Descripcion]]</f>
        <v xml:space="preserve">ETAPA 12 - </v>
      </c>
    </row>
    <row r="47" spans="3:11" x14ac:dyDescent="0.3">
      <c r="C47" s="219" t="s">
        <v>2711</v>
      </c>
      <c r="D47" s="219">
        <v>150</v>
      </c>
      <c r="E47" s="221">
        <v>13</v>
      </c>
      <c r="F47" s="259" t="s">
        <v>2596</v>
      </c>
      <c r="G47" s="225">
        <v>13</v>
      </c>
      <c r="H47" s="229"/>
      <c r="I47" s="229"/>
      <c r="J47" s="257" t="str">
        <f>Tabla_Etapas[[#This Row],[UID.Proceso]]&amp;"_ETAPA_"&amp;Tabla_Etapas[[#This Row],[Valor.Etapa]]</f>
        <v>150_ETAPA_13</v>
      </c>
      <c r="K47" s="220" t="str">
        <f>"ETAPA " &amp; Tabla_Etapas[[#This Row],[Valor.Etapa]] &amp; " - "  &amp; Tabla_Etapas[[#This Row],[Descripcion]]</f>
        <v xml:space="preserve">ETAPA 13 - </v>
      </c>
    </row>
    <row r="48" spans="3:11" x14ac:dyDescent="0.3">
      <c r="C48" s="219" t="s">
        <v>2712</v>
      </c>
      <c r="D48" s="219">
        <v>150</v>
      </c>
      <c r="E48" s="221">
        <v>14</v>
      </c>
      <c r="F48" s="259" t="s">
        <v>2596</v>
      </c>
      <c r="G48" s="225">
        <v>14</v>
      </c>
      <c r="H48" s="229"/>
      <c r="I48" s="229"/>
      <c r="J48" s="257" t="str">
        <f>Tabla_Etapas[[#This Row],[UID.Proceso]]&amp;"_ETAPA_"&amp;Tabla_Etapas[[#This Row],[Valor.Etapa]]</f>
        <v>150_ETAPA_14</v>
      </c>
      <c r="K48" s="220" t="str">
        <f>"ETAPA " &amp; Tabla_Etapas[[#This Row],[Valor.Etapa]] &amp; " - "  &amp; Tabla_Etapas[[#This Row],[Descripcion]]</f>
        <v xml:space="preserve">ETAPA 14 - </v>
      </c>
    </row>
    <row r="49" spans="3:11" x14ac:dyDescent="0.3">
      <c r="C49" s="219" t="s">
        <v>2713</v>
      </c>
      <c r="D49" s="219">
        <v>150</v>
      </c>
      <c r="E49" s="221">
        <v>15</v>
      </c>
      <c r="F49" s="259" t="s">
        <v>2596</v>
      </c>
      <c r="G49" s="225">
        <v>15</v>
      </c>
      <c r="H49" s="229"/>
      <c r="I49" s="229"/>
      <c r="J49" s="257" t="str">
        <f>Tabla_Etapas[[#This Row],[UID.Proceso]]&amp;"_ETAPA_"&amp;Tabla_Etapas[[#This Row],[Valor.Etapa]]</f>
        <v>150_ETAPA_15</v>
      </c>
      <c r="K49" s="220" t="str">
        <f>"ETAPA " &amp; Tabla_Etapas[[#This Row],[Valor.Etapa]] &amp; " - "  &amp; Tabla_Etapas[[#This Row],[Descripcion]]</f>
        <v xml:space="preserve">ETAPA 15 - </v>
      </c>
    </row>
    <row r="50" spans="3:11" x14ac:dyDescent="0.3">
      <c r="C50" s="219" t="s">
        <v>2714</v>
      </c>
      <c r="D50" s="219">
        <v>150</v>
      </c>
      <c r="E50" s="221">
        <v>16</v>
      </c>
      <c r="F50" s="259" t="s">
        <v>2596</v>
      </c>
      <c r="G50" s="225">
        <v>16</v>
      </c>
      <c r="H50" s="229"/>
      <c r="I50" s="229"/>
      <c r="J50" s="257" t="str">
        <f>Tabla_Etapas[[#This Row],[UID.Proceso]]&amp;"_ETAPA_"&amp;Tabla_Etapas[[#This Row],[Valor.Etapa]]</f>
        <v>150_ETAPA_16</v>
      </c>
      <c r="K50" s="220" t="str">
        <f>"ETAPA " &amp; Tabla_Etapas[[#This Row],[Valor.Etapa]] &amp; " - "  &amp; Tabla_Etapas[[#This Row],[Descripcion]]</f>
        <v xml:space="preserve">ETAPA 16 - </v>
      </c>
    </row>
    <row r="51" spans="3:11" x14ac:dyDescent="0.3">
      <c r="C51" s="219" t="s">
        <v>2715</v>
      </c>
      <c r="D51" s="219">
        <v>150</v>
      </c>
      <c r="E51" s="221">
        <v>17</v>
      </c>
      <c r="F51" s="259" t="s">
        <v>2596</v>
      </c>
      <c r="G51" s="225">
        <v>17</v>
      </c>
      <c r="H51" s="229"/>
      <c r="I51" s="229"/>
      <c r="J51" s="257" t="str">
        <f>Tabla_Etapas[[#This Row],[UID.Proceso]]&amp;"_ETAPA_"&amp;Tabla_Etapas[[#This Row],[Valor.Etapa]]</f>
        <v>150_ETAPA_17</v>
      </c>
      <c r="K51" s="220" t="str">
        <f>"ETAPA " &amp; Tabla_Etapas[[#This Row],[Valor.Etapa]] &amp; " - "  &amp; Tabla_Etapas[[#This Row],[Descripcion]]</f>
        <v xml:space="preserve">ETAPA 17 - </v>
      </c>
    </row>
    <row r="52" spans="3:11" x14ac:dyDescent="0.3">
      <c r="C52" s="219" t="s">
        <v>2716</v>
      </c>
      <c r="D52" s="219">
        <v>150</v>
      </c>
      <c r="E52" s="221">
        <v>18</v>
      </c>
      <c r="F52" s="259" t="s">
        <v>2596</v>
      </c>
      <c r="G52" s="225">
        <v>18</v>
      </c>
      <c r="H52" s="229"/>
      <c r="I52" s="229"/>
      <c r="J52" s="257" t="str">
        <f>Tabla_Etapas[[#This Row],[UID.Proceso]]&amp;"_ETAPA_"&amp;Tabla_Etapas[[#This Row],[Valor.Etapa]]</f>
        <v>150_ETAPA_18</v>
      </c>
      <c r="K52" s="220" t="str">
        <f>"ETAPA " &amp; Tabla_Etapas[[#This Row],[Valor.Etapa]] &amp; " - "  &amp; Tabla_Etapas[[#This Row],[Descripcion]]</f>
        <v xml:space="preserve">ETAPA 18 - </v>
      </c>
    </row>
    <row r="53" spans="3:11" x14ac:dyDescent="0.3">
      <c r="C53" s="219" t="s">
        <v>2717</v>
      </c>
      <c r="D53" s="219">
        <v>150</v>
      </c>
      <c r="E53" s="221">
        <v>19</v>
      </c>
      <c r="F53" s="259" t="s">
        <v>2596</v>
      </c>
      <c r="G53" s="225">
        <v>19</v>
      </c>
      <c r="H53" s="229"/>
      <c r="I53" s="229"/>
      <c r="J53" s="257" t="str">
        <f>Tabla_Etapas[[#This Row],[UID.Proceso]]&amp;"_ETAPA_"&amp;Tabla_Etapas[[#This Row],[Valor.Etapa]]</f>
        <v>150_ETAPA_19</v>
      </c>
      <c r="K53" s="220" t="str">
        <f>"ETAPA " &amp; Tabla_Etapas[[#This Row],[Valor.Etapa]] &amp; " - "  &amp; Tabla_Etapas[[#This Row],[Descripcion]]</f>
        <v xml:space="preserve">ETAPA 19 - </v>
      </c>
    </row>
    <row r="54" spans="3:11" x14ac:dyDescent="0.3">
      <c r="C54" s="219" t="s">
        <v>2718</v>
      </c>
      <c r="D54" s="219">
        <v>150</v>
      </c>
      <c r="E54" s="221">
        <v>20</v>
      </c>
      <c r="F54" s="259" t="s">
        <v>2596</v>
      </c>
      <c r="G54" s="225">
        <v>20</v>
      </c>
      <c r="H54" s="229"/>
      <c r="I54" s="229"/>
      <c r="J54" s="257" t="str">
        <f>Tabla_Etapas[[#This Row],[UID.Proceso]]&amp;"_ETAPA_"&amp;Tabla_Etapas[[#This Row],[Valor.Etapa]]</f>
        <v>150_ETAPA_20</v>
      </c>
      <c r="K54" s="220" t="str">
        <f>"ETAPA " &amp; Tabla_Etapas[[#This Row],[Valor.Etapa]] &amp; " - "  &amp; Tabla_Etapas[[#This Row],[Descripcion]]</f>
        <v xml:space="preserve">ETAPA 20 - </v>
      </c>
    </row>
    <row r="55" spans="3:11" x14ac:dyDescent="0.3">
      <c r="C55" s="219" t="s">
        <v>2719</v>
      </c>
      <c r="D55" s="219">
        <v>150</v>
      </c>
      <c r="E55" s="221">
        <v>21</v>
      </c>
      <c r="F55" s="259" t="s">
        <v>2596</v>
      </c>
      <c r="G55" s="225">
        <v>21</v>
      </c>
      <c r="H55" s="229"/>
      <c r="I55" s="229"/>
      <c r="J55" s="257" t="str">
        <f>Tabla_Etapas[[#This Row],[UID.Proceso]]&amp;"_ETAPA_"&amp;Tabla_Etapas[[#This Row],[Valor.Etapa]]</f>
        <v>150_ETAPA_21</v>
      </c>
      <c r="K55" s="220" t="str">
        <f>"ETAPA " &amp; Tabla_Etapas[[#This Row],[Valor.Etapa]] &amp; " - "  &amp; Tabla_Etapas[[#This Row],[Descripcion]]</f>
        <v xml:space="preserve">ETAPA 21 - </v>
      </c>
    </row>
    <row r="56" spans="3:11" x14ac:dyDescent="0.3">
      <c r="C56" s="219" t="s">
        <v>2720</v>
      </c>
      <c r="D56" s="219">
        <v>150</v>
      </c>
      <c r="E56" s="221">
        <v>22</v>
      </c>
      <c r="F56" s="259" t="s">
        <v>2596</v>
      </c>
      <c r="G56" s="225">
        <v>22</v>
      </c>
      <c r="H56" s="229"/>
      <c r="I56" s="229"/>
      <c r="J56" s="257" t="str">
        <f>Tabla_Etapas[[#This Row],[UID.Proceso]]&amp;"_ETAPA_"&amp;Tabla_Etapas[[#This Row],[Valor.Etapa]]</f>
        <v>150_ETAPA_22</v>
      </c>
      <c r="K56" s="220" t="str">
        <f>"ETAPA " &amp; Tabla_Etapas[[#This Row],[Valor.Etapa]] &amp; " - "  &amp; Tabla_Etapas[[#This Row],[Descripcion]]</f>
        <v xml:space="preserve">ETAPA 22 - </v>
      </c>
    </row>
    <row r="57" spans="3:11" x14ac:dyDescent="0.3">
      <c r="C57" s="219" t="s">
        <v>2721</v>
      </c>
      <c r="D57" s="219">
        <v>150</v>
      </c>
      <c r="E57" s="221">
        <v>23</v>
      </c>
      <c r="F57" s="259" t="s">
        <v>2596</v>
      </c>
      <c r="G57" s="225">
        <v>23</v>
      </c>
      <c r="H57" s="229"/>
      <c r="I57" s="229"/>
      <c r="J57" s="257" t="str">
        <f>Tabla_Etapas[[#This Row],[UID.Proceso]]&amp;"_ETAPA_"&amp;Tabla_Etapas[[#This Row],[Valor.Etapa]]</f>
        <v>150_ETAPA_23</v>
      </c>
      <c r="K57" s="220" t="str">
        <f>"ETAPA " &amp; Tabla_Etapas[[#This Row],[Valor.Etapa]] &amp; " - "  &amp; Tabla_Etapas[[#This Row],[Descripcion]]</f>
        <v xml:space="preserve">ETAPA 23 - </v>
      </c>
    </row>
    <row r="58" spans="3:11" x14ac:dyDescent="0.3">
      <c r="C58" s="219" t="s">
        <v>2722</v>
      </c>
      <c r="D58" s="219">
        <v>150</v>
      </c>
      <c r="E58" s="221">
        <v>24</v>
      </c>
      <c r="F58" s="259" t="s">
        <v>2596</v>
      </c>
      <c r="G58" s="225">
        <v>24</v>
      </c>
      <c r="H58" s="229"/>
      <c r="I58" s="229"/>
      <c r="J58" s="257" t="str">
        <f>Tabla_Etapas[[#This Row],[UID.Proceso]]&amp;"_ETAPA_"&amp;Tabla_Etapas[[#This Row],[Valor.Etapa]]</f>
        <v>150_ETAPA_24</v>
      </c>
      <c r="K58" s="220" t="str">
        <f>"ETAPA " &amp; Tabla_Etapas[[#This Row],[Valor.Etapa]] &amp; " - "  &amp; Tabla_Etapas[[#This Row],[Descripcion]]</f>
        <v xml:space="preserve">ETAPA 24 - </v>
      </c>
    </row>
    <row r="59" spans="3:11" x14ac:dyDescent="0.3">
      <c r="C59" s="219" t="s">
        <v>2723</v>
      </c>
      <c r="D59" s="219">
        <v>150</v>
      </c>
      <c r="E59" s="221">
        <v>25</v>
      </c>
      <c r="F59" s="259" t="s">
        <v>2596</v>
      </c>
      <c r="G59" s="225">
        <v>25</v>
      </c>
      <c r="H59" s="229"/>
      <c r="I59" s="229"/>
      <c r="J59" s="257" t="str">
        <f>Tabla_Etapas[[#This Row],[UID.Proceso]]&amp;"_ETAPA_"&amp;Tabla_Etapas[[#This Row],[Valor.Etapa]]</f>
        <v>150_ETAPA_25</v>
      </c>
      <c r="K59" s="220" t="str">
        <f>"ETAPA " &amp; Tabla_Etapas[[#This Row],[Valor.Etapa]] &amp; " - "  &amp; Tabla_Etapas[[#This Row],[Descripcion]]</f>
        <v xml:space="preserve">ETAPA 25 - </v>
      </c>
    </row>
    <row r="60" spans="3:11" x14ac:dyDescent="0.3">
      <c r="C60" s="219" t="s">
        <v>2724</v>
      </c>
      <c r="D60" s="219">
        <v>150</v>
      </c>
      <c r="E60" s="221">
        <v>26</v>
      </c>
      <c r="F60" s="259" t="s">
        <v>2596</v>
      </c>
      <c r="G60" s="225">
        <v>26</v>
      </c>
      <c r="H60" s="229"/>
      <c r="I60" s="229"/>
      <c r="J60" s="257" t="str">
        <f>Tabla_Etapas[[#This Row],[UID.Proceso]]&amp;"_ETAPA_"&amp;Tabla_Etapas[[#This Row],[Valor.Etapa]]</f>
        <v>150_ETAPA_26</v>
      </c>
      <c r="K60" s="220" t="str">
        <f>"ETAPA " &amp; Tabla_Etapas[[#This Row],[Valor.Etapa]] &amp; " - "  &amp; Tabla_Etapas[[#This Row],[Descripcion]]</f>
        <v xml:space="preserve">ETAPA 26 - </v>
      </c>
    </row>
    <row r="61" spans="3:11" x14ac:dyDescent="0.3">
      <c r="C61" s="219" t="s">
        <v>2725</v>
      </c>
      <c r="D61" s="219">
        <v>150</v>
      </c>
      <c r="E61" s="221">
        <v>27</v>
      </c>
      <c r="F61" s="259" t="s">
        <v>2596</v>
      </c>
      <c r="G61" s="225">
        <v>27</v>
      </c>
      <c r="H61" s="229"/>
      <c r="I61" s="229"/>
      <c r="J61" s="257" t="str">
        <f>Tabla_Etapas[[#This Row],[UID.Proceso]]&amp;"_ETAPA_"&amp;Tabla_Etapas[[#This Row],[Valor.Etapa]]</f>
        <v>150_ETAPA_27</v>
      </c>
      <c r="K61" s="220" t="str">
        <f>"ETAPA " &amp; Tabla_Etapas[[#This Row],[Valor.Etapa]] &amp; " - "  &amp; Tabla_Etapas[[#This Row],[Descripcion]]</f>
        <v xml:space="preserve">ETAPA 27 - </v>
      </c>
    </row>
    <row r="62" spans="3:11" x14ac:dyDescent="0.3">
      <c r="C62" s="219" t="s">
        <v>2726</v>
      </c>
      <c r="D62" s="219">
        <v>150</v>
      </c>
      <c r="E62" s="221">
        <v>28</v>
      </c>
      <c r="F62" s="259" t="s">
        <v>2596</v>
      </c>
      <c r="G62" s="225">
        <v>28</v>
      </c>
      <c r="H62" s="229"/>
      <c r="I62" s="229"/>
      <c r="J62" s="257" t="str">
        <f>Tabla_Etapas[[#This Row],[UID.Proceso]]&amp;"_ETAPA_"&amp;Tabla_Etapas[[#This Row],[Valor.Etapa]]</f>
        <v>150_ETAPA_28</v>
      </c>
      <c r="K62" s="220" t="str">
        <f>"ETAPA " &amp; Tabla_Etapas[[#This Row],[Valor.Etapa]] &amp; " - "  &amp; Tabla_Etapas[[#This Row],[Descripcion]]</f>
        <v xml:space="preserve">ETAPA 28 - </v>
      </c>
    </row>
    <row r="63" spans="3:11" x14ac:dyDescent="0.3">
      <c r="C63" s="219" t="s">
        <v>2727</v>
      </c>
      <c r="D63" s="219">
        <v>150</v>
      </c>
      <c r="E63" s="221">
        <v>29</v>
      </c>
      <c r="F63" s="259" t="s">
        <v>2596</v>
      </c>
      <c r="G63" s="225">
        <v>29</v>
      </c>
      <c r="H63" s="229"/>
      <c r="I63" s="229"/>
      <c r="J63" s="257" t="str">
        <f>Tabla_Etapas[[#This Row],[UID.Proceso]]&amp;"_ETAPA_"&amp;Tabla_Etapas[[#This Row],[Valor.Etapa]]</f>
        <v>150_ETAPA_29</v>
      </c>
      <c r="K63" s="220" t="str">
        <f>"ETAPA " &amp; Tabla_Etapas[[#This Row],[Valor.Etapa]] &amp; " - "  &amp; Tabla_Etapas[[#This Row],[Descripcion]]</f>
        <v xml:space="preserve">ETAPA 29 - </v>
      </c>
    </row>
    <row r="64" spans="3:11" x14ac:dyDescent="0.3">
      <c r="C64" s="219" t="s">
        <v>2728</v>
      </c>
      <c r="D64" s="219">
        <v>150</v>
      </c>
      <c r="E64" s="221">
        <v>30</v>
      </c>
      <c r="F64" s="259" t="s">
        <v>2596</v>
      </c>
      <c r="G64" s="225">
        <v>30</v>
      </c>
      <c r="H64" s="229"/>
      <c r="I64" s="229"/>
      <c r="J64" s="257" t="str">
        <f>Tabla_Etapas[[#This Row],[UID.Proceso]]&amp;"_ETAPA_"&amp;Tabla_Etapas[[#This Row],[Valor.Etapa]]</f>
        <v>150_ETAPA_30</v>
      </c>
      <c r="K64" s="220" t="str">
        <f>"ETAPA " &amp; Tabla_Etapas[[#This Row],[Valor.Etapa]] &amp; " - "  &amp; Tabla_Etapas[[#This Row],[Descripcion]]</f>
        <v xml:space="preserve">ETAPA 30 - </v>
      </c>
    </row>
    <row r="65" spans="3:11" x14ac:dyDescent="0.3">
      <c r="C65" s="219" t="s">
        <v>2077</v>
      </c>
      <c r="D65" s="219">
        <v>500</v>
      </c>
      <c r="E65" s="221">
        <v>1</v>
      </c>
      <c r="F65" s="255" t="s">
        <v>1885</v>
      </c>
      <c r="G65" s="225">
        <v>1</v>
      </c>
      <c r="H65" s="229"/>
      <c r="I65" s="229"/>
      <c r="J65" s="257" t="str">
        <f>Tabla_Etapas[[#This Row],[UID.Proceso]]&amp;"_ETAPA_"&amp;Tabla_Etapas[[#This Row],[Valor.Etapa]]</f>
        <v>500_ETAPA_1</v>
      </c>
      <c r="K65" s="220" t="str">
        <f>"ETAPA " &amp; Tabla_Etapas[[#This Row],[Valor.Etapa]] &amp; " - "  &amp; Tabla_Etapas[[#This Row],[Descripcion]]</f>
        <v xml:space="preserve">ETAPA 1 - </v>
      </c>
    </row>
    <row r="66" spans="3:11" x14ac:dyDescent="0.3">
      <c r="C66" s="219" t="s">
        <v>2078</v>
      </c>
      <c r="D66" s="219">
        <v>500</v>
      </c>
      <c r="E66" s="221">
        <v>2</v>
      </c>
      <c r="F66" s="255" t="s">
        <v>1885</v>
      </c>
      <c r="G66" s="225">
        <v>2</v>
      </c>
      <c r="H66" s="229"/>
      <c r="I66" s="229"/>
      <c r="J66" s="257" t="str">
        <f>Tabla_Etapas[[#This Row],[UID.Proceso]]&amp;"_ETAPA_"&amp;Tabla_Etapas[[#This Row],[Valor.Etapa]]</f>
        <v>500_ETAPA_2</v>
      </c>
      <c r="K66" s="220" t="str">
        <f>"ETAPA " &amp; Tabla_Etapas[[#This Row],[Valor.Etapa]] &amp; " - "  &amp; Tabla_Etapas[[#This Row],[Descripcion]]</f>
        <v xml:space="preserve">ETAPA 2 - </v>
      </c>
    </row>
    <row r="67" spans="3:11" x14ac:dyDescent="0.3">
      <c r="C67" s="219" t="s">
        <v>2079</v>
      </c>
      <c r="D67" s="219">
        <v>500</v>
      </c>
      <c r="E67" s="221">
        <v>3</v>
      </c>
      <c r="F67" s="255" t="s">
        <v>1885</v>
      </c>
      <c r="G67" s="225">
        <v>3</v>
      </c>
      <c r="H67" s="229"/>
      <c r="I67" s="229"/>
      <c r="J67" s="257" t="str">
        <f>Tabla_Etapas[[#This Row],[UID.Proceso]]&amp;"_ETAPA_"&amp;Tabla_Etapas[[#This Row],[Valor.Etapa]]</f>
        <v>500_ETAPA_3</v>
      </c>
      <c r="K67" s="220" t="str">
        <f>"ETAPA " &amp; Tabla_Etapas[[#This Row],[Valor.Etapa]] &amp; " - "  &amp; Tabla_Etapas[[#This Row],[Descripcion]]</f>
        <v xml:space="preserve">ETAPA 3 - </v>
      </c>
    </row>
    <row r="68" spans="3:11" x14ac:dyDescent="0.3">
      <c r="C68" s="219" t="s">
        <v>2080</v>
      </c>
      <c r="D68" s="219">
        <v>500</v>
      </c>
      <c r="E68" s="221">
        <v>4</v>
      </c>
      <c r="F68" s="255" t="s">
        <v>1885</v>
      </c>
      <c r="G68" s="225">
        <v>4</v>
      </c>
      <c r="H68" s="229"/>
      <c r="I68" s="229"/>
      <c r="J68" s="257" t="str">
        <f>Tabla_Etapas[[#This Row],[UID.Proceso]]&amp;"_ETAPA_"&amp;Tabla_Etapas[[#This Row],[Valor.Etapa]]</f>
        <v>500_ETAPA_4</v>
      </c>
      <c r="K68" s="220" t="str">
        <f>"ETAPA " &amp; Tabla_Etapas[[#This Row],[Valor.Etapa]] &amp; " - "  &amp; Tabla_Etapas[[#This Row],[Descripcion]]</f>
        <v xml:space="preserve">ETAPA 4 - </v>
      </c>
    </row>
    <row r="69" spans="3:11" x14ac:dyDescent="0.3">
      <c r="C69" s="219" t="s">
        <v>2081</v>
      </c>
      <c r="D69" s="219">
        <v>500</v>
      </c>
      <c r="E69" s="221">
        <v>5</v>
      </c>
      <c r="F69" s="255" t="s">
        <v>1885</v>
      </c>
      <c r="G69" s="225">
        <v>5</v>
      </c>
      <c r="H69" s="229"/>
      <c r="I69" s="229"/>
      <c r="J69" s="257" t="str">
        <f>Tabla_Etapas[[#This Row],[UID.Proceso]]&amp;"_ETAPA_"&amp;Tabla_Etapas[[#This Row],[Valor.Etapa]]</f>
        <v>500_ETAPA_5</v>
      </c>
      <c r="K69" s="220" t="str">
        <f>"ETAPA " &amp; Tabla_Etapas[[#This Row],[Valor.Etapa]] &amp; " - "  &amp; Tabla_Etapas[[#This Row],[Descripcion]]</f>
        <v xml:space="preserve">ETAPA 5 - </v>
      </c>
    </row>
    <row r="70" spans="3:11" x14ac:dyDescent="0.3">
      <c r="C70" s="219" t="s">
        <v>2082</v>
      </c>
      <c r="D70" s="219">
        <v>500</v>
      </c>
      <c r="E70" s="221">
        <v>6</v>
      </c>
      <c r="F70" s="255" t="s">
        <v>1885</v>
      </c>
      <c r="G70" s="225">
        <v>6</v>
      </c>
      <c r="H70" s="229"/>
      <c r="I70" s="229"/>
      <c r="J70" s="257" t="str">
        <f>Tabla_Etapas[[#This Row],[UID.Proceso]]&amp;"_ETAPA_"&amp;Tabla_Etapas[[#This Row],[Valor.Etapa]]</f>
        <v>500_ETAPA_6</v>
      </c>
      <c r="K70" s="220" t="str">
        <f>"ETAPA " &amp; Tabla_Etapas[[#This Row],[Valor.Etapa]] &amp; " - "  &amp; Tabla_Etapas[[#This Row],[Descripcion]]</f>
        <v xml:space="preserve">ETAPA 6 - </v>
      </c>
    </row>
    <row r="71" spans="3:11" x14ac:dyDescent="0.3">
      <c r="C71" s="219" t="s">
        <v>2083</v>
      </c>
      <c r="D71" s="219">
        <v>500</v>
      </c>
      <c r="E71" s="221">
        <v>7</v>
      </c>
      <c r="F71" s="255" t="s">
        <v>1885</v>
      </c>
      <c r="G71" s="225">
        <v>7</v>
      </c>
      <c r="H71" s="229"/>
      <c r="I71" s="229"/>
      <c r="J71" s="257" t="str">
        <f>Tabla_Etapas[[#This Row],[UID.Proceso]]&amp;"_ETAPA_"&amp;Tabla_Etapas[[#This Row],[Valor.Etapa]]</f>
        <v>500_ETAPA_7</v>
      </c>
      <c r="K71" s="220" t="str">
        <f>"ETAPA " &amp; Tabla_Etapas[[#This Row],[Valor.Etapa]] &amp; " - "  &amp; Tabla_Etapas[[#This Row],[Descripcion]]</f>
        <v xml:space="preserve">ETAPA 7 - </v>
      </c>
    </row>
    <row r="72" spans="3:11" x14ac:dyDescent="0.3">
      <c r="C72" s="219" t="s">
        <v>2084</v>
      </c>
      <c r="D72" s="219">
        <v>500</v>
      </c>
      <c r="E72" s="221">
        <v>8</v>
      </c>
      <c r="F72" s="255" t="s">
        <v>1885</v>
      </c>
      <c r="G72" s="225">
        <v>8</v>
      </c>
      <c r="H72" s="229"/>
      <c r="I72" s="229"/>
      <c r="J72" s="257" t="str">
        <f>Tabla_Etapas[[#This Row],[UID.Proceso]]&amp;"_ETAPA_"&amp;Tabla_Etapas[[#This Row],[Valor.Etapa]]</f>
        <v>500_ETAPA_8</v>
      </c>
      <c r="K72" s="220" t="str">
        <f>"ETAPA " &amp; Tabla_Etapas[[#This Row],[Valor.Etapa]] &amp; " - "  &amp; Tabla_Etapas[[#This Row],[Descripcion]]</f>
        <v xml:space="preserve">ETAPA 8 - </v>
      </c>
    </row>
    <row r="73" spans="3:11" x14ac:dyDescent="0.3">
      <c r="C73" s="219" t="s">
        <v>2085</v>
      </c>
      <c r="D73" s="219">
        <v>500</v>
      </c>
      <c r="E73" s="221">
        <v>9</v>
      </c>
      <c r="F73" s="255" t="s">
        <v>1885</v>
      </c>
      <c r="G73" s="225">
        <v>9</v>
      </c>
      <c r="H73" s="229"/>
      <c r="I73" s="229"/>
      <c r="J73" s="257" t="str">
        <f>Tabla_Etapas[[#This Row],[UID.Proceso]]&amp;"_ETAPA_"&amp;Tabla_Etapas[[#This Row],[Valor.Etapa]]</f>
        <v>500_ETAPA_9</v>
      </c>
      <c r="K73" s="220" t="str">
        <f>"ETAPA " &amp; Tabla_Etapas[[#This Row],[Valor.Etapa]] &amp; " - "  &amp; Tabla_Etapas[[#This Row],[Descripcion]]</f>
        <v xml:space="preserve">ETAPA 9 - </v>
      </c>
    </row>
    <row r="74" spans="3:11" x14ac:dyDescent="0.3">
      <c r="C74" s="219" t="s">
        <v>2086</v>
      </c>
      <c r="D74" s="219">
        <v>500</v>
      </c>
      <c r="E74" s="221">
        <v>10</v>
      </c>
      <c r="F74" s="255" t="s">
        <v>1885</v>
      </c>
      <c r="G74" s="225">
        <v>10</v>
      </c>
      <c r="H74" s="229"/>
      <c r="I74" s="229"/>
      <c r="J74" s="257" t="str">
        <f>Tabla_Etapas[[#This Row],[UID.Proceso]]&amp;"_ETAPA_"&amp;Tabla_Etapas[[#This Row],[Valor.Etapa]]</f>
        <v>500_ETAPA_10</v>
      </c>
      <c r="K74" s="220" t="str">
        <f>"ETAPA " &amp; Tabla_Etapas[[#This Row],[Valor.Etapa]] &amp; " - "  &amp; Tabla_Etapas[[#This Row],[Descripcion]]</f>
        <v xml:space="preserve">ETAPA 10 - </v>
      </c>
    </row>
    <row r="75" spans="3:11" x14ac:dyDescent="0.3">
      <c r="C75" s="219" t="s">
        <v>2087</v>
      </c>
      <c r="D75" s="219">
        <v>500</v>
      </c>
      <c r="E75" s="221">
        <v>11</v>
      </c>
      <c r="F75" s="255" t="s">
        <v>1885</v>
      </c>
      <c r="G75" s="225">
        <v>11</v>
      </c>
      <c r="H75" s="229"/>
      <c r="I75" s="229"/>
      <c r="J75" s="257" t="str">
        <f>Tabla_Etapas[[#This Row],[UID.Proceso]]&amp;"_ETAPA_"&amp;Tabla_Etapas[[#This Row],[Valor.Etapa]]</f>
        <v>500_ETAPA_11</v>
      </c>
      <c r="K75" s="220" t="str">
        <f>"ETAPA " &amp; Tabla_Etapas[[#This Row],[Valor.Etapa]] &amp; " - "  &amp; Tabla_Etapas[[#This Row],[Descripcion]]</f>
        <v xml:space="preserve">ETAPA 11 - </v>
      </c>
    </row>
    <row r="76" spans="3:11" x14ac:dyDescent="0.3">
      <c r="C76" s="219" t="s">
        <v>2088</v>
      </c>
      <c r="D76" s="219">
        <v>500</v>
      </c>
      <c r="E76" s="221">
        <v>12</v>
      </c>
      <c r="F76" s="255" t="s">
        <v>1885</v>
      </c>
      <c r="G76" s="225">
        <v>12</v>
      </c>
      <c r="H76" s="229"/>
      <c r="I76" s="229"/>
      <c r="J76" s="257" t="str">
        <f>Tabla_Etapas[[#This Row],[UID.Proceso]]&amp;"_ETAPA_"&amp;Tabla_Etapas[[#This Row],[Valor.Etapa]]</f>
        <v>500_ETAPA_12</v>
      </c>
      <c r="K76" s="220" t="str">
        <f>"ETAPA " &amp; Tabla_Etapas[[#This Row],[Valor.Etapa]] &amp; " - "  &amp; Tabla_Etapas[[#This Row],[Descripcion]]</f>
        <v xml:space="preserve">ETAPA 12 - </v>
      </c>
    </row>
    <row r="77" spans="3:11" x14ac:dyDescent="0.3">
      <c r="C77" s="219" t="s">
        <v>2089</v>
      </c>
      <c r="D77" s="219">
        <v>500</v>
      </c>
      <c r="E77" s="221">
        <v>13</v>
      </c>
      <c r="F77" s="255" t="s">
        <v>1885</v>
      </c>
      <c r="G77" s="225">
        <v>13</v>
      </c>
      <c r="H77" s="229"/>
      <c r="I77" s="229"/>
      <c r="J77" s="257" t="str">
        <f>Tabla_Etapas[[#This Row],[UID.Proceso]]&amp;"_ETAPA_"&amp;Tabla_Etapas[[#This Row],[Valor.Etapa]]</f>
        <v>500_ETAPA_13</v>
      </c>
      <c r="K77" s="220" t="str">
        <f>"ETAPA " &amp; Tabla_Etapas[[#This Row],[Valor.Etapa]] &amp; " - "  &amp; Tabla_Etapas[[#This Row],[Descripcion]]</f>
        <v xml:space="preserve">ETAPA 13 - </v>
      </c>
    </row>
    <row r="78" spans="3:11" x14ac:dyDescent="0.3">
      <c r="C78" s="219" t="s">
        <v>2090</v>
      </c>
      <c r="D78" s="219">
        <v>500</v>
      </c>
      <c r="E78" s="221">
        <v>14</v>
      </c>
      <c r="F78" s="255" t="s">
        <v>1885</v>
      </c>
      <c r="G78" s="225">
        <v>14</v>
      </c>
      <c r="H78" s="229"/>
      <c r="I78" s="229"/>
      <c r="J78" s="257" t="str">
        <f>Tabla_Etapas[[#This Row],[UID.Proceso]]&amp;"_ETAPA_"&amp;Tabla_Etapas[[#This Row],[Valor.Etapa]]</f>
        <v>500_ETAPA_14</v>
      </c>
      <c r="K78" s="220" t="str">
        <f>"ETAPA " &amp; Tabla_Etapas[[#This Row],[Valor.Etapa]] &amp; " - "  &amp; Tabla_Etapas[[#This Row],[Descripcion]]</f>
        <v xml:space="preserve">ETAPA 14 - </v>
      </c>
    </row>
    <row r="79" spans="3:11" x14ac:dyDescent="0.3">
      <c r="C79" s="219" t="s">
        <v>2091</v>
      </c>
      <c r="D79" s="219">
        <v>500</v>
      </c>
      <c r="E79" s="221">
        <v>15</v>
      </c>
      <c r="F79" s="255" t="s">
        <v>1885</v>
      </c>
      <c r="G79" s="225">
        <v>15</v>
      </c>
      <c r="H79" s="229"/>
      <c r="I79" s="229"/>
      <c r="J79" s="257" t="str">
        <f>Tabla_Etapas[[#This Row],[UID.Proceso]]&amp;"_ETAPA_"&amp;Tabla_Etapas[[#This Row],[Valor.Etapa]]</f>
        <v>500_ETAPA_15</v>
      </c>
      <c r="K79" s="220" t="str">
        <f>"ETAPA " &amp; Tabla_Etapas[[#This Row],[Valor.Etapa]] &amp; " - "  &amp; Tabla_Etapas[[#This Row],[Descripcion]]</f>
        <v xml:space="preserve">ETAPA 15 - </v>
      </c>
    </row>
    <row r="80" spans="3:11" x14ac:dyDescent="0.3">
      <c r="C80" s="219" t="s">
        <v>2092</v>
      </c>
      <c r="D80" s="219">
        <v>500</v>
      </c>
      <c r="E80" s="221">
        <v>16</v>
      </c>
      <c r="F80" s="255" t="s">
        <v>1885</v>
      </c>
      <c r="G80" s="225">
        <v>16</v>
      </c>
      <c r="H80" s="229"/>
      <c r="I80" s="229"/>
      <c r="J80" s="257" t="str">
        <f>Tabla_Etapas[[#This Row],[UID.Proceso]]&amp;"_ETAPA_"&amp;Tabla_Etapas[[#This Row],[Valor.Etapa]]</f>
        <v>500_ETAPA_16</v>
      </c>
      <c r="K80" s="220" t="str">
        <f>"ETAPA " &amp; Tabla_Etapas[[#This Row],[Valor.Etapa]] &amp; " - "  &amp; Tabla_Etapas[[#This Row],[Descripcion]]</f>
        <v xml:space="preserve">ETAPA 16 - </v>
      </c>
    </row>
    <row r="81" spans="3:11" x14ac:dyDescent="0.3">
      <c r="C81" s="219" t="s">
        <v>2093</v>
      </c>
      <c r="D81" s="219">
        <v>500</v>
      </c>
      <c r="E81" s="221">
        <v>17</v>
      </c>
      <c r="F81" s="255" t="s">
        <v>1885</v>
      </c>
      <c r="G81" s="225">
        <v>17</v>
      </c>
      <c r="H81" s="229"/>
      <c r="I81" s="229"/>
      <c r="J81" s="257" t="str">
        <f>Tabla_Etapas[[#This Row],[UID.Proceso]]&amp;"_ETAPA_"&amp;Tabla_Etapas[[#This Row],[Valor.Etapa]]</f>
        <v>500_ETAPA_17</v>
      </c>
      <c r="K81" s="220" t="str">
        <f>"ETAPA " &amp; Tabla_Etapas[[#This Row],[Valor.Etapa]] &amp; " - "  &amp; Tabla_Etapas[[#This Row],[Descripcion]]</f>
        <v xml:space="preserve">ETAPA 17 - </v>
      </c>
    </row>
    <row r="82" spans="3:11" x14ac:dyDescent="0.3">
      <c r="C82" s="219" t="s">
        <v>2094</v>
      </c>
      <c r="D82" s="219">
        <v>500</v>
      </c>
      <c r="E82" s="221">
        <v>18</v>
      </c>
      <c r="F82" s="255" t="s">
        <v>1885</v>
      </c>
      <c r="G82" s="225">
        <v>18</v>
      </c>
      <c r="H82" s="229"/>
      <c r="I82" s="229"/>
      <c r="J82" s="257" t="str">
        <f>Tabla_Etapas[[#This Row],[UID.Proceso]]&amp;"_ETAPA_"&amp;Tabla_Etapas[[#This Row],[Valor.Etapa]]</f>
        <v>500_ETAPA_18</v>
      </c>
      <c r="K82" s="220" t="str">
        <f>"ETAPA " &amp; Tabla_Etapas[[#This Row],[Valor.Etapa]] &amp; " - "  &amp; Tabla_Etapas[[#This Row],[Descripcion]]</f>
        <v xml:space="preserve">ETAPA 18 - </v>
      </c>
    </row>
    <row r="83" spans="3:11" x14ac:dyDescent="0.3">
      <c r="C83" s="219" t="s">
        <v>2095</v>
      </c>
      <c r="D83" s="219">
        <v>500</v>
      </c>
      <c r="E83" s="221">
        <v>19</v>
      </c>
      <c r="F83" s="255" t="s">
        <v>1885</v>
      </c>
      <c r="G83" s="225">
        <v>19</v>
      </c>
      <c r="H83" s="229"/>
      <c r="I83" s="229"/>
      <c r="J83" s="257" t="str">
        <f>Tabla_Etapas[[#This Row],[UID.Proceso]]&amp;"_ETAPA_"&amp;Tabla_Etapas[[#This Row],[Valor.Etapa]]</f>
        <v>500_ETAPA_19</v>
      </c>
      <c r="K83" s="220" t="str">
        <f>"ETAPA " &amp; Tabla_Etapas[[#This Row],[Valor.Etapa]] &amp; " - "  &amp; Tabla_Etapas[[#This Row],[Descripcion]]</f>
        <v xml:space="preserve">ETAPA 19 - </v>
      </c>
    </row>
    <row r="84" spans="3:11" x14ac:dyDescent="0.3">
      <c r="C84" s="219" t="s">
        <v>2096</v>
      </c>
      <c r="D84" s="219">
        <v>500</v>
      </c>
      <c r="E84" s="221">
        <v>20</v>
      </c>
      <c r="F84" s="255" t="s">
        <v>1885</v>
      </c>
      <c r="G84" s="225">
        <v>20</v>
      </c>
      <c r="H84" s="229"/>
      <c r="I84" s="229"/>
      <c r="J84" s="257" t="str">
        <f>Tabla_Etapas[[#This Row],[UID.Proceso]]&amp;"_ETAPA_"&amp;Tabla_Etapas[[#This Row],[Valor.Etapa]]</f>
        <v>500_ETAPA_20</v>
      </c>
      <c r="K84" s="220" t="str">
        <f>"ETAPA " &amp; Tabla_Etapas[[#This Row],[Valor.Etapa]] &amp; " - "  &amp; Tabla_Etapas[[#This Row],[Descripcion]]</f>
        <v xml:space="preserve">ETAPA 20 - </v>
      </c>
    </row>
    <row r="85" spans="3:11" x14ac:dyDescent="0.3">
      <c r="C85" s="219" t="s">
        <v>2097</v>
      </c>
      <c r="D85" s="219">
        <v>500</v>
      </c>
      <c r="E85" s="221">
        <v>21</v>
      </c>
      <c r="F85" s="255" t="s">
        <v>1885</v>
      </c>
      <c r="G85" s="225">
        <v>21</v>
      </c>
      <c r="H85" s="229"/>
      <c r="I85" s="229"/>
      <c r="J85" s="257" t="str">
        <f>Tabla_Etapas[[#This Row],[UID.Proceso]]&amp;"_ETAPA_"&amp;Tabla_Etapas[[#This Row],[Valor.Etapa]]</f>
        <v>500_ETAPA_21</v>
      </c>
      <c r="K85" s="220" t="str">
        <f>"ETAPA " &amp; Tabla_Etapas[[#This Row],[Valor.Etapa]] &amp; " - "  &amp; Tabla_Etapas[[#This Row],[Descripcion]]</f>
        <v xml:space="preserve">ETAPA 21 - </v>
      </c>
    </row>
    <row r="86" spans="3:11" x14ac:dyDescent="0.3">
      <c r="C86" s="219" t="s">
        <v>2098</v>
      </c>
      <c r="D86" s="219">
        <v>500</v>
      </c>
      <c r="E86" s="221">
        <v>22</v>
      </c>
      <c r="F86" s="255" t="s">
        <v>1885</v>
      </c>
      <c r="G86" s="225">
        <v>22</v>
      </c>
      <c r="H86" s="229"/>
      <c r="I86" s="229"/>
      <c r="J86" s="257" t="str">
        <f>Tabla_Etapas[[#This Row],[UID.Proceso]]&amp;"_ETAPA_"&amp;Tabla_Etapas[[#This Row],[Valor.Etapa]]</f>
        <v>500_ETAPA_22</v>
      </c>
      <c r="K86" s="220" t="str">
        <f>"ETAPA " &amp; Tabla_Etapas[[#This Row],[Valor.Etapa]] &amp; " - "  &amp; Tabla_Etapas[[#This Row],[Descripcion]]</f>
        <v xml:space="preserve">ETAPA 22 - </v>
      </c>
    </row>
    <row r="87" spans="3:11" x14ac:dyDescent="0.3">
      <c r="C87" s="219" t="s">
        <v>2099</v>
      </c>
      <c r="D87" s="219">
        <v>500</v>
      </c>
      <c r="E87" s="221">
        <v>23</v>
      </c>
      <c r="F87" s="255" t="s">
        <v>1885</v>
      </c>
      <c r="G87" s="225">
        <v>23</v>
      </c>
      <c r="H87" s="229"/>
      <c r="I87" s="229"/>
      <c r="J87" s="257" t="str">
        <f>Tabla_Etapas[[#This Row],[UID.Proceso]]&amp;"_ETAPA_"&amp;Tabla_Etapas[[#This Row],[Valor.Etapa]]</f>
        <v>500_ETAPA_23</v>
      </c>
      <c r="K87" s="220" t="str">
        <f>"ETAPA " &amp; Tabla_Etapas[[#This Row],[Valor.Etapa]] &amp; " - "  &amp; Tabla_Etapas[[#This Row],[Descripcion]]</f>
        <v xml:space="preserve">ETAPA 23 - </v>
      </c>
    </row>
    <row r="88" spans="3:11" x14ac:dyDescent="0.3">
      <c r="C88" s="219" t="s">
        <v>2100</v>
      </c>
      <c r="D88" s="219">
        <v>500</v>
      </c>
      <c r="E88" s="221">
        <v>24</v>
      </c>
      <c r="F88" s="255" t="s">
        <v>1885</v>
      </c>
      <c r="G88" s="225">
        <v>24</v>
      </c>
      <c r="H88" s="229"/>
      <c r="I88" s="229"/>
      <c r="J88" s="257" t="str">
        <f>Tabla_Etapas[[#This Row],[UID.Proceso]]&amp;"_ETAPA_"&amp;Tabla_Etapas[[#This Row],[Valor.Etapa]]</f>
        <v>500_ETAPA_24</v>
      </c>
      <c r="K88" s="220" t="str">
        <f>"ETAPA " &amp; Tabla_Etapas[[#This Row],[Valor.Etapa]] &amp; " - "  &amp; Tabla_Etapas[[#This Row],[Descripcion]]</f>
        <v xml:space="preserve">ETAPA 24 - </v>
      </c>
    </row>
    <row r="89" spans="3:11" x14ac:dyDescent="0.3">
      <c r="C89" s="219" t="s">
        <v>2101</v>
      </c>
      <c r="D89" s="219">
        <v>500</v>
      </c>
      <c r="E89" s="221">
        <v>25</v>
      </c>
      <c r="F89" s="255" t="s">
        <v>1885</v>
      </c>
      <c r="G89" s="225">
        <v>25</v>
      </c>
      <c r="H89" s="229"/>
      <c r="I89" s="229"/>
      <c r="J89" s="257" t="str">
        <f>Tabla_Etapas[[#This Row],[UID.Proceso]]&amp;"_ETAPA_"&amp;Tabla_Etapas[[#This Row],[Valor.Etapa]]</f>
        <v>500_ETAPA_25</v>
      </c>
      <c r="K89" s="220" t="str">
        <f>"ETAPA " &amp; Tabla_Etapas[[#This Row],[Valor.Etapa]] &amp; " - "  &amp; Tabla_Etapas[[#This Row],[Descripcion]]</f>
        <v xml:space="preserve">ETAPA 25 - </v>
      </c>
    </row>
    <row r="90" spans="3:11" x14ac:dyDescent="0.3">
      <c r="C90" s="219" t="s">
        <v>2102</v>
      </c>
      <c r="D90" s="219">
        <v>500</v>
      </c>
      <c r="E90" s="221">
        <v>26</v>
      </c>
      <c r="F90" s="255" t="s">
        <v>1885</v>
      </c>
      <c r="G90" s="225">
        <v>26</v>
      </c>
      <c r="H90" s="229"/>
      <c r="I90" s="229"/>
      <c r="J90" s="257" t="str">
        <f>Tabla_Etapas[[#This Row],[UID.Proceso]]&amp;"_ETAPA_"&amp;Tabla_Etapas[[#This Row],[Valor.Etapa]]</f>
        <v>500_ETAPA_26</v>
      </c>
      <c r="K90" s="220" t="str">
        <f>"ETAPA " &amp; Tabla_Etapas[[#This Row],[Valor.Etapa]] &amp; " - "  &amp; Tabla_Etapas[[#This Row],[Descripcion]]</f>
        <v xml:space="preserve">ETAPA 26 - </v>
      </c>
    </row>
    <row r="91" spans="3:11" x14ac:dyDescent="0.3">
      <c r="C91" s="219" t="s">
        <v>2103</v>
      </c>
      <c r="D91" s="219">
        <v>500</v>
      </c>
      <c r="E91" s="221">
        <v>27</v>
      </c>
      <c r="F91" s="255" t="s">
        <v>1885</v>
      </c>
      <c r="G91" s="225">
        <v>27</v>
      </c>
      <c r="H91" s="229"/>
      <c r="I91" s="229"/>
      <c r="J91" s="257" t="str">
        <f>Tabla_Etapas[[#This Row],[UID.Proceso]]&amp;"_ETAPA_"&amp;Tabla_Etapas[[#This Row],[Valor.Etapa]]</f>
        <v>500_ETAPA_27</v>
      </c>
      <c r="K91" s="220" t="str">
        <f>"ETAPA " &amp; Tabla_Etapas[[#This Row],[Valor.Etapa]] &amp; " - "  &amp; Tabla_Etapas[[#This Row],[Descripcion]]</f>
        <v xml:space="preserve">ETAPA 27 - </v>
      </c>
    </row>
    <row r="92" spans="3:11" x14ac:dyDescent="0.3">
      <c r="C92" s="219" t="s">
        <v>2104</v>
      </c>
      <c r="D92" s="219">
        <v>500</v>
      </c>
      <c r="E92" s="221">
        <v>28</v>
      </c>
      <c r="F92" s="255" t="s">
        <v>1885</v>
      </c>
      <c r="G92" s="225">
        <v>28</v>
      </c>
      <c r="H92" s="229"/>
      <c r="I92" s="229"/>
      <c r="J92" s="257" t="str">
        <f>Tabla_Etapas[[#This Row],[UID.Proceso]]&amp;"_ETAPA_"&amp;Tabla_Etapas[[#This Row],[Valor.Etapa]]</f>
        <v>500_ETAPA_28</v>
      </c>
      <c r="K92" s="220" t="str">
        <f>"ETAPA " &amp; Tabla_Etapas[[#This Row],[Valor.Etapa]] &amp; " - "  &amp; Tabla_Etapas[[#This Row],[Descripcion]]</f>
        <v xml:space="preserve">ETAPA 28 - </v>
      </c>
    </row>
    <row r="93" spans="3:11" x14ac:dyDescent="0.3">
      <c r="C93" s="219" t="s">
        <v>2105</v>
      </c>
      <c r="D93" s="219">
        <v>500</v>
      </c>
      <c r="E93" s="221">
        <v>29</v>
      </c>
      <c r="F93" s="255" t="s">
        <v>1885</v>
      </c>
      <c r="G93" s="225">
        <v>29</v>
      </c>
      <c r="H93" s="229"/>
      <c r="I93" s="229"/>
      <c r="J93" s="257" t="str">
        <f>Tabla_Etapas[[#This Row],[UID.Proceso]]&amp;"_ETAPA_"&amp;Tabla_Etapas[[#This Row],[Valor.Etapa]]</f>
        <v>500_ETAPA_29</v>
      </c>
      <c r="K93" s="220" t="str">
        <f>"ETAPA " &amp; Tabla_Etapas[[#This Row],[Valor.Etapa]] &amp; " - "  &amp; Tabla_Etapas[[#This Row],[Descripcion]]</f>
        <v xml:space="preserve">ETAPA 29 - </v>
      </c>
    </row>
    <row r="94" spans="3:11" x14ac:dyDescent="0.3">
      <c r="C94" s="219" t="s">
        <v>2106</v>
      </c>
      <c r="D94" s="219">
        <v>500</v>
      </c>
      <c r="E94" s="221">
        <v>30</v>
      </c>
      <c r="F94" s="255" t="s">
        <v>1885</v>
      </c>
      <c r="G94" s="225">
        <v>30</v>
      </c>
      <c r="H94" s="229"/>
      <c r="I94" s="229"/>
      <c r="J94" s="257" t="str">
        <f>Tabla_Etapas[[#This Row],[UID.Proceso]]&amp;"_ETAPA_"&amp;Tabla_Etapas[[#This Row],[Valor.Etapa]]</f>
        <v>500_ETAPA_30</v>
      </c>
      <c r="K94" s="220" t="str">
        <f>"ETAPA " &amp; Tabla_Etapas[[#This Row],[Valor.Etapa]] &amp; " - "  &amp; Tabla_Etapas[[#This Row],[Descripcion]]</f>
        <v xml:space="preserve">ETAPA 30 - </v>
      </c>
    </row>
    <row r="95" spans="3:11" x14ac:dyDescent="0.3">
      <c r="C95" s="219" t="s">
        <v>2107</v>
      </c>
      <c r="D95" s="219">
        <v>500</v>
      </c>
      <c r="E95" s="221">
        <v>31</v>
      </c>
      <c r="F95" s="255" t="s">
        <v>1885</v>
      </c>
      <c r="G95" s="225">
        <v>31</v>
      </c>
      <c r="H95" s="229"/>
      <c r="I95" s="229"/>
      <c r="J95" s="257" t="str">
        <f>Tabla_Etapas[[#This Row],[UID.Proceso]]&amp;"_ETAPA_"&amp;Tabla_Etapas[[#This Row],[Valor.Etapa]]</f>
        <v>500_ETAPA_31</v>
      </c>
      <c r="K95" s="220" t="str">
        <f>"ETAPA " &amp; Tabla_Etapas[[#This Row],[Valor.Etapa]] &amp; " - "  &amp; Tabla_Etapas[[#This Row],[Descripcion]]</f>
        <v xml:space="preserve">ETAPA 31 - </v>
      </c>
    </row>
    <row r="96" spans="3:11" x14ac:dyDescent="0.3">
      <c r="C96" s="219" t="s">
        <v>2108</v>
      </c>
      <c r="D96" s="219">
        <v>500</v>
      </c>
      <c r="E96" s="221">
        <v>32</v>
      </c>
      <c r="F96" s="255" t="s">
        <v>1885</v>
      </c>
      <c r="G96" s="225">
        <v>32</v>
      </c>
      <c r="H96" s="229"/>
      <c r="I96" s="229"/>
      <c r="J96" s="257" t="str">
        <f>Tabla_Etapas[[#This Row],[UID.Proceso]]&amp;"_ETAPA_"&amp;Tabla_Etapas[[#This Row],[Valor.Etapa]]</f>
        <v>500_ETAPA_32</v>
      </c>
      <c r="K96" s="220" t="str">
        <f>"ETAPA " &amp; Tabla_Etapas[[#This Row],[Valor.Etapa]] &amp; " - "  &amp; Tabla_Etapas[[#This Row],[Descripcion]]</f>
        <v xml:space="preserve">ETAPA 32 - </v>
      </c>
    </row>
    <row r="97" spans="3:11" x14ac:dyDescent="0.3">
      <c r="C97" s="219" t="s">
        <v>2109</v>
      </c>
      <c r="D97" s="219">
        <v>500</v>
      </c>
      <c r="E97" s="221">
        <v>33</v>
      </c>
      <c r="F97" s="255" t="s">
        <v>1885</v>
      </c>
      <c r="G97" s="225">
        <v>33</v>
      </c>
      <c r="H97" s="229"/>
      <c r="I97" s="229"/>
      <c r="J97" s="257" t="str">
        <f>Tabla_Etapas[[#This Row],[UID.Proceso]]&amp;"_ETAPA_"&amp;Tabla_Etapas[[#This Row],[Valor.Etapa]]</f>
        <v>500_ETAPA_33</v>
      </c>
      <c r="K97" s="220" t="str">
        <f>"ETAPA " &amp; Tabla_Etapas[[#This Row],[Valor.Etapa]] &amp; " - "  &amp; Tabla_Etapas[[#This Row],[Descripcion]]</f>
        <v xml:space="preserve">ETAPA 33 - </v>
      </c>
    </row>
    <row r="98" spans="3:11" x14ac:dyDescent="0.3">
      <c r="C98" s="219" t="s">
        <v>2110</v>
      </c>
      <c r="D98" s="219">
        <v>500</v>
      </c>
      <c r="E98" s="221">
        <v>34</v>
      </c>
      <c r="F98" s="255" t="s">
        <v>1885</v>
      </c>
      <c r="G98" s="225">
        <v>34</v>
      </c>
      <c r="H98" s="229"/>
      <c r="I98" s="229"/>
      <c r="J98" s="257" t="str">
        <f>Tabla_Etapas[[#This Row],[UID.Proceso]]&amp;"_ETAPA_"&amp;Tabla_Etapas[[#This Row],[Valor.Etapa]]</f>
        <v>500_ETAPA_34</v>
      </c>
      <c r="K98" s="220" t="str">
        <f>"ETAPA " &amp; Tabla_Etapas[[#This Row],[Valor.Etapa]] &amp; " - "  &amp; Tabla_Etapas[[#This Row],[Descripcion]]</f>
        <v xml:space="preserve">ETAPA 34 - </v>
      </c>
    </row>
    <row r="99" spans="3:11" x14ac:dyDescent="0.3">
      <c r="C99" s="219" t="s">
        <v>2111</v>
      </c>
      <c r="D99" s="219">
        <v>500</v>
      </c>
      <c r="E99" s="221">
        <v>35</v>
      </c>
      <c r="F99" s="255" t="s">
        <v>1885</v>
      </c>
      <c r="G99" s="225">
        <v>35</v>
      </c>
      <c r="H99" s="229"/>
      <c r="I99" s="229"/>
      <c r="J99" s="257" t="str">
        <f>Tabla_Etapas[[#This Row],[UID.Proceso]]&amp;"_ETAPA_"&amp;Tabla_Etapas[[#This Row],[Valor.Etapa]]</f>
        <v>500_ETAPA_35</v>
      </c>
      <c r="K99" s="220" t="str">
        <f>"ETAPA " &amp; Tabla_Etapas[[#This Row],[Valor.Etapa]] &amp; " - "  &amp; Tabla_Etapas[[#This Row],[Descripcion]]</f>
        <v xml:space="preserve">ETAPA 35 - </v>
      </c>
    </row>
  </sheetData>
  <mergeCells count="2">
    <mergeCell ref="L1:L6"/>
    <mergeCell ref="B2:C2"/>
  </mergeCells>
  <conditionalFormatting sqref="K10:K34 J10:J99 C10:E99 J11:K99">
    <cfRule type="cellIs" dxfId="179" priority="2" operator="notEqual">
      <formula>""""""</formula>
    </cfRule>
  </conditionalFormatting>
  <dataValidations count="1">
    <dataValidation allowBlank="1" showInputMessage="1" showErrorMessage="1" promptTitle="Generacion automatica" prompt="No modificar." sqref="C10:F99 J10:K99" xr:uid="{B14263E1-7115-40EC-9228-A3AC50B1B0A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527"/>
  <sheetViews>
    <sheetView showGridLines="0" zoomScale="85" zoomScaleNormal="85" workbookViewId="0">
      <pane ySplit="9" topLeftCell="A505" activePane="bottomLeft" state="frozen"/>
      <selection pane="bottomLeft" activeCell="I518" sqref="I518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15" customWidth="1"/>
    <col min="10" max="10" width="58.140625" style="47" bestFit="1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64"/>
      <c r="J1" s="202"/>
      <c r="K1" s="202"/>
      <c r="L1" s="261"/>
    </row>
    <row r="2" spans="1:12" ht="16.5" customHeight="1" x14ac:dyDescent="0.35">
      <c r="A2" s="48"/>
      <c r="B2" s="262">
        <f>PORTADA!D46</f>
        <v>26000</v>
      </c>
      <c r="C2" s="262"/>
      <c r="D2" s="87"/>
      <c r="E2" s="202"/>
      <c r="F2" s="202"/>
      <c r="G2" s="202"/>
      <c r="H2" s="60"/>
      <c r="I2" s="216"/>
      <c r="J2" s="202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227"/>
      <c r="J3" s="202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227"/>
      <c r="J4" s="202"/>
      <c r="K4" s="202"/>
      <c r="L4" s="261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64"/>
      <c r="J5" s="202"/>
      <c r="K5" s="202"/>
      <c r="L5" s="261"/>
    </row>
    <row r="6" spans="1:12" ht="18" customHeight="1" x14ac:dyDescent="0.35">
      <c r="A6" s="46"/>
      <c r="B6" s="53" t="s">
        <v>1079</v>
      </c>
      <c r="C6" s="51"/>
      <c r="D6" s="87"/>
      <c r="E6" s="51"/>
      <c r="F6" s="51"/>
      <c r="G6" s="51"/>
      <c r="H6" s="60"/>
      <c r="I6" s="216"/>
      <c r="J6" s="202"/>
      <c r="K6" s="202"/>
      <c r="L6" s="261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28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1892</v>
      </c>
      <c r="D10" s="221">
        <v>1</v>
      </c>
      <c r="E10" s="223" t="s">
        <v>1102</v>
      </c>
      <c r="F10" s="219">
        <v>3001</v>
      </c>
      <c r="G10" s="225"/>
      <c r="H10" s="67"/>
      <c r="I10" s="229"/>
      <c r="J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7"/>
    </row>
    <row r="11" spans="1:12" x14ac:dyDescent="0.3">
      <c r="C11" s="219" t="s">
        <v>1893</v>
      </c>
      <c r="D11" s="221">
        <v>2</v>
      </c>
      <c r="E11" s="223" t="s">
        <v>1102</v>
      </c>
      <c r="F11" s="219">
        <v>3001</v>
      </c>
      <c r="G11" s="225"/>
      <c r="H11" s="67"/>
      <c r="I11" s="229"/>
      <c r="J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7"/>
    </row>
    <row r="12" spans="1:12" x14ac:dyDescent="0.3">
      <c r="C12" s="219" t="s">
        <v>1894</v>
      </c>
      <c r="D12" s="221">
        <v>3</v>
      </c>
      <c r="E12" s="223" t="s">
        <v>1102</v>
      </c>
      <c r="F12" s="219">
        <v>3001</v>
      </c>
      <c r="G12" s="225"/>
      <c r="H12" s="67"/>
      <c r="I12" s="229"/>
      <c r="J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7"/>
    </row>
    <row r="13" spans="1:12" x14ac:dyDescent="0.3">
      <c r="C13" s="219" t="s">
        <v>1895</v>
      </c>
      <c r="D13" s="221">
        <v>4</v>
      </c>
      <c r="E13" s="223" t="s">
        <v>1102</v>
      </c>
      <c r="F13" s="219">
        <v>3001</v>
      </c>
      <c r="G13" s="225"/>
      <c r="H13" s="67"/>
      <c r="I13" s="229"/>
      <c r="J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7"/>
    </row>
    <row r="14" spans="1:12" x14ac:dyDescent="0.3">
      <c r="C14" s="219" t="s">
        <v>1896</v>
      </c>
      <c r="D14" s="221">
        <v>5</v>
      </c>
      <c r="E14" s="223" t="s">
        <v>1102</v>
      </c>
      <c r="F14" s="219">
        <v>3001</v>
      </c>
      <c r="G14" s="225"/>
      <c r="H14" s="67"/>
      <c r="I14" s="229"/>
      <c r="J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7"/>
    </row>
    <row r="15" spans="1:12" x14ac:dyDescent="0.3">
      <c r="C15" s="219" t="s">
        <v>1897</v>
      </c>
      <c r="D15" s="221">
        <v>6</v>
      </c>
      <c r="E15" s="223" t="s">
        <v>1102</v>
      </c>
      <c r="F15" s="219">
        <v>3001</v>
      </c>
      <c r="G15" s="225"/>
      <c r="H15" s="67"/>
      <c r="I15" s="229"/>
      <c r="J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7"/>
    </row>
    <row r="16" spans="1:12" x14ac:dyDescent="0.3">
      <c r="C16" s="219" t="s">
        <v>1898</v>
      </c>
      <c r="D16" s="221">
        <v>7</v>
      </c>
      <c r="E16" s="223" t="s">
        <v>1102</v>
      </c>
      <c r="F16" s="219">
        <v>3001</v>
      </c>
      <c r="G16" s="225"/>
      <c r="H16" s="67"/>
      <c r="I16" s="229"/>
      <c r="J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7"/>
    </row>
    <row r="17" spans="3:11" x14ac:dyDescent="0.3">
      <c r="C17" s="219" t="s">
        <v>1899</v>
      </c>
      <c r="D17" s="221">
        <v>8</v>
      </c>
      <c r="E17" s="223" t="s">
        <v>1102</v>
      </c>
      <c r="F17" s="219">
        <v>3001</v>
      </c>
      <c r="G17" s="225"/>
      <c r="H17" s="67"/>
      <c r="I17" s="229"/>
      <c r="J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7"/>
    </row>
    <row r="18" spans="3:11" x14ac:dyDescent="0.3">
      <c r="C18" s="219" t="s">
        <v>1900</v>
      </c>
      <c r="D18" s="221">
        <v>9</v>
      </c>
      <c r="E18" s="223" t="s">
        <v>1102</v>
      </c>
      <c r="F18" s="219">
        <v>3001</v>
      </c>
      <c r="G18" s="225"/>
      <c r="H18" s="67"/>
      <c r="I18" s="229"/>
      <c r="J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7"/>
    </row>
    <row r="19" spans="3:11" x14ac:dyDescent="0.3">
      <c r="C19" s="219" t="s">
        <v>1901</v>
      </c>
      <c r="D19" s="221">
        <v>10</v>
      </c>
      <c r="E19" s="223" t="s">
        <v>1102</v>
      </c>
      <c r="F19" s="219">
        <v>3001</v>
      </c>
      <c r="G19" s="225"/>
      <c r="H19" s="67"/>
      <c r="I19" s="229"/>
      <c r="J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7"/>
    </row>
    <row r="20" spans="3:11" x14ac:dyDescent="0.3">
      <c r="C20" s="219" t="s">
        <v>1902</v>
      </c>
      <c r="D20" s="221">
        <v>11</v>
      </c>
      <c r="E20" s="223" t="s">
        <v>1102</v>
      </c>
      <c r="F20" s="219">
        <v>3001</v>
      </c>
      <c r="G20" s="225"/>
      <c r="H20" s="67"/>
      <c r="I20" s="229"/>
      <c r="J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7"/>
    </row>
    <row r="21" spans="3:11" x14ac:dyDescent="0.3">
      <c r="C21" s="219" t="s">
        <v>1903</v>
      </c>
      <c r="D21" s="221">
        <v>12</v>
      </c>
      <c r="E21" s="223" t="s">
        <v>1102</v>
      </c>
      <c r="F21" s="219">
        <v>3001</v>
      </c>
      <c r="G21" s="225"/>
      <c r="H21" s="67"/>
      <c r="I21" s="229"/>
      <c r="J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7"/>
    </row>
    <row r="22" spans="3:11" x14ac:dyDescent="0.3">
      <c r="C22" s="219" t="s">
        <v>1904</v>
      </c>
      <c r="D22" s="221">
        <v>13</v>
      </c>
      <c r="E22" s="223" t="s">
        <v>1102</v>
      </c>
      <c r="F22" s="219">
        <v>3001</v>
      </c>
      <c r="G22" s="225"/>
      <c r="H22" s="67"/>
      <c r="I22" s="229"/>
      <c r="J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7"/>
    </row>
    <row r="23" spans="3:11" x14ac:dyDescent="0.3">
      <c r="C23" s="219" t="s">
        <v>1905</v>
      </c>
      <c r="D23" s="221">
        <v>14</v>
      </c>
      <c r="E23" s="223" t="s">
        <v>1102</v>
      </c>
      <c r="F23" s="219">
        <v>3001</v>
      </c>
      <c r="G23" s="225"/>
      <c r="H23" s="67"/>
      <c r="I23" s="229"/>
      <c r="J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7"/>
    </row>
    <row r="24" spans="3:11" x14ac:dyDescent="0.3">
      <c r="C24" s="219" t="s">
        <v>1906</v>
      </c>
      <c r="D24" s="221">
        <v>15</v>
      </c>
      <c r="E24" s="223" t="s">
        <v>1102</v>
      </c>
      <c r="F24" s="219">
        <v>3001</v>
      </c>
      <c r="G24" s="225"/>
      <c r="H24" s="67"/>
      <c r="I24" s="229"/>
      <c r="J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7"/>
    </row>
    <row r="25" spans="3:11" x14ac:dyDescent="0.3">
      <c r="C25" s="219" t="s">
        <v>1907</v>
      </c>
      <c r="D25" s="221">
        <v>16</v>
      </c>
      <c r="E25" s="223" t="s">
        <v>1102</v>
      </c>
      <c r="F25" s="219">
        <v>3001</v>
      </c>
      <c r="G25" s="225"/>
      <c r="H25" s="67"/>
      <c r="I25" s="229"/>
      <c r="J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7"/>
    </row>
    <row r="26" spans="3:11" x14ac:dyDescent="0.3">
      <c r="C26" s="219" t="s">
        <v>1908</v>
      </c>
      <c r="D26" s="221">
        <v>17</v>
      </c>
      <c r="E26" s="223" t="s">
        <v>1102</v>
      </c>
      <c r="F26" s="219">
        <v>3001</v>
      </c>
      <c r="G26" s="225"/>
      <c r="H26" s="67"/>
      <c r="I26" s="229"/>
      <c r="J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7"/>
    </row>
    <row r="27" spans="3:11" x14ac:dyDescent="0.3">
      <c r="C27" s="219" t="s">
        <v>1909</v>
      </c>
      <c r="D27" s="221">
        <v>18</v>
      </c>
      <c r="E27" s="223" t="s">
        <v>1102</v>
      </c>
      <c r="F27" s="219">
        <v>3001</v>
      </c>
      <c r="G27" s="225"/>
      <c r="H27" s="67"/>
      <c r="I27" s="229"/>
      <c r="J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7"/>
    </row>
    <row r="28" spans="3:11" x14ac:dyDescent="0.3">
      <c r="C28" s="219" t="s">
        <v>1910</v>
      </c>
      <c r="D28" s="221">
        <v>19</v>
      </c>
      <c r="E28" s="223" t="s">
        <v>1102</v>
      </c>
      <c r="F28" s="219">
        <v>3001</v>
      </c>
      <c r="G28" s="225"/>
      <c r="H28" s="67"/>
      <c r="I28" s="229"/>
      <c r="J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7"/>
    </row>
    <row r="29" spans="3:11" x14ac:dyDescent="0.3">
      <c r="C29" s="219" t="s">
        <v>1911</v>
      </c>
      <c r="D29" s="221">
        <v>20</v>
      </c>
      <c r="E29" s="223" t="s">
        <v>1102</v>
      </c>
      <c r="F29" s="219">
        <v>3001</v>
      </c>
      <c r="G29" s="225"/>
      <c r="H29" s="67"/>
      <c r="I29" s="229"/>
      <c r="J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7"/>
    </row>
    <row r="30" spans="3:11" x14ac:dyDescent="0.3">
      <c r="C30" s="219" t="s">
        <v>1912</v>
      </c>
      <c r="D30" s="221">
        <v>21</v>
      </c>
      <c r="E30" s="223" t="s">
        <v>1102</v>
      </c>
      <c r="F30" s="219">
        <v>3001</v>
      </c>
      <c r="G30" s="225"/>
      <c r="H30" s="67"/>
      <c r="I30" s="229"/>
      <c r="J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7"/>
    </row>
    <row r="31" spans="3:11" x14ac:dyDescent="0.3">
      <c r="C31" s="219" t="s">
        <v>1913</v>
      </c>
      <c r="D31" s="221">
        <v>22</v>
      </c>
      <c r="E31" s="223" t="s">
        <v>1102</v>
      </c>
      <c r="F31" s="219">
        <v>3001</v>
      </c>
      <c r="G31" s="225"/>
      <c r="H31" s="67"/>
      <c r="I31" s="229"/>
      <c r="J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7"/>
    </row>
    <row r="32" spans="3:11" x14ac:dyDescent="0.3">
      <c r="C32" s="219" t="s">
        <v>1914</v>
      </c>
      <c r="D32" s="221">
        <v>23</v>
      </c>
      <c r="E32" s="223" t="s">
        <v>1102</v>
      </c>
      <c r="F32" s="219">
        <v>3001</v>
      </c>
      <c r="G32" s="225"/>
      <c r="H32" s="67"/>
      <c r="I32" s="229"/>
      <c r="J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7"/>
    </row>
    <row r="33" spans="3:11" x14ac:dyDescent="0.3">
      <c r="C33" s="219" t="s">
        <v>1915</v>
      </c>
      <c r="D33" s="221">
        <v>24</v>
      </c>
      <c r="E33" s="223" t="s">
        <v>1102</v>
      </c>
      <c r="F33" s="219">
        <v>3001</v>
      </c>
      <c r="G33" s="225"/>
      <c r="H33" s="67"/>
      <c r="I33" s="229"/>
      <c r="J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7"/>
    </row>
    <row r="34" spans="3:11" x14ac:dyDescent="0.3">
      <c r="C34" s="219" t="s">
        <v>1916</v>
      </c>
      <c r="D34" s="221">
        <v>25</v>
      </c>
      <c r="E34" s="223" t="s">
        <v>1102</v>
      </c>
      <c r="F34" s="219">
        <v>3001</v>
      </c>
      <c r="G34" s="225"/>
      <c r="H34" s="67"/>
      <c r="I34" s="229"/>
      <c r="J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7"/>
    </row>
    <row r="35" spans="3:11" x14ac:dyDescent="0.3">
      <c r="C35" s="219" t="s">
        <v>1917</v>
      </c>
      <c r="D35" s="221">
        <v>26</v>
      </c>
      <c r="E35" s="223" t="s">
        <v>1102</v>
      </c>
      <c r="F35" s="219">
        <v>3001</v>
      </c>
      <c r="G35" s="225"/>
      <c r="H35" s="67"/>
      <c r="I35" s="229"/>
      <c r="J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7"/>
    </row>
    <row r="36" spans="3:11" x14ac:dyDescent="0.3">
      <c r="C36" s="219" t="s">
        <v>1918</v>
      </c>
      <c r="D36" s="221">
        <v>27</v>
      </c>
      <c r="E36" s="223" t="s">
        <v>1102</v>
      </c>
      <c r="F36" s="219">
        <v>3001</v>
      </c>
      <c r="G36" s="225"/>
      <c r="H36" s="67"/>
      <c r="I36" s="229"/>
      <c r="J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7"/>
    </row>
    <row r="37" spans="3:11" x14ac:dyDescent="0.3">
      <c r="C37" s="219" t="s">
        <v>1919</v>
      </c>
      <c r="D37" s="221">
        <v>28</v>
      </c>
      <c r="E37" s="223" t="s">
        <v>1102</v>
      </c>
      <c r="F37" s="219">
        <v>3001</v>
      </c>
      <c r="G37" s="225"/>
      <c r="H37" s="67"/>
      <c r="I37" s="229"/>
      <c r="J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7"/>
    </row>
    <row r="38" spans="3:11" x14ac:dyDescent="0.3">
      <c r="C38" s="219" t="s">
        <v>1920</v>
      </c>
      <c r="D38" s="221">
        <v>29</v>
      </c>
      <c r="E38" s="223" t="s">
        <v>1102</v>
      </c>
      <c r="F38" s="219">
        <v>3001</v>
      </c>
      <c r="G38" s="225"/>
      <c r="H38" s="67"/>
      <c r="I38" s="229"/>
      <c r="J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7"/>
    </row>
    <row r="39" spans="3:11" x14ac:dyDescent="0.3">
      <c r="C39" s="219" t="s">
        <v>1921</v>
      </c>
      <c r="D39" s="221">
        <v>30</v>
      </c>
      <c r="E39" s="223" t="s">
        <v>1102</v>
      </c>
      <c r="F39" s="219">
        <v>3001</v>
      </c>
      <c r="G39" s="225"/>
      <c r="H39" s="67"/>
      <c r="I39" s="229"/>
      <c r="J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7"/>
    </row>
    <row r="40" spans="3:11" x14ac:dyDescent="0.3">
      <c r="C40" s="219" t="s">
        <v>1922</v>
      </c>
      <c r="D40" s="221">
        <v>31</v>
      </c>
      <c r="E40" s="223" t="s">
        <v>1102</v>
      </c>
      <c r="F40" s="219">
        <v>3001</v>
      </c>
      <c r="G40" s="225"/>
      <c r="H40" s="67"/>
      <c r="I40" s="229"/>
      <c r="J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7"/>
    </row>
    <row r="41" spans="3:11" x14ac:dyDescent="0.3">
      <c r="C41" s="219" t="s">
        <v>1923</v>
      </c>
      <c r="D41" s="221">
        <v>32</v>
      </c>
      <c r="E41" s="223" t="s">
        <v>1102</v>
      </c>
      <c r="F41" s="219">
        <v>3001</v>
      </c>
      <c r="G41" s="225"/>
      <c r="H41" s="67"/>
      <c r="I41" s="229"/>
      <c r="J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7"/>
    </row>
    <row r="42" spans="3:11" x14ac:dyDescent="0.3">
      <c r="C42" s="219" t="s">
        <v>1924</v>
      </c>
      <c r="D42" s="221">
        <v>33</v>
      </c>
      <c r="E42" s="223" t="s">
        <v>1102</v>
      </c>
      <c r="F42" s="219">
        <v>3001</v>
      </c>
      <c r="G42" s="225"/>
      <c r="H42" s="67"/>
      <c r="I42" s="229"/>
      <c r="J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7"/>
    </row>
    <row r="43" spans="3:11" x14ac:dyDescent="0.3">
      <c r="C43" s="219" t="s">
        <v>1925</v>
      </c>
      <c r="D43" s="221">
        <v>34</v>
      </c>
      <c r="E43" s="223" t="s">
        <v>1102</v>
      </c>
      <c r="F43" s="219">
        <v>3001</v>
      </c>
      <c r="G43" s="225"/>
      <c r="H43" s="67"/>
      <c r="I43" s="229"/>
      <c r="J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7"/>
    </row>
    <row r="44" spans="3:11" x14ac:dyDescent="0.3">
      <c r="C44" s="219" t="s">
        <v>1926</v>
      </c>
      <c r="D44" s="221">
        <v>35</v>
      </c>
      <c r="E44" s="223" t="s">
        <v>1102</v>
      </c>
      <c r="F44" s="219">
        <v>3001</v>
      </c>
      <c r="G44" s="225"/>
      <c r="H44" s="67"/>
      <c r="I44" s="229"/>
      <c r="J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7"/>
    </row>
    <row r="45" spans="3:11" x14ac:dyDescent="0.3">
      <c r="C45" s="219" t="s">
        <v>1927</v>
      </c>
      <c r="D45" s="221">
        <v>36</v>
      </c>
      <c r="E45" s="223" t="s">
        <v>1102</v>
      </c>
      <c r="F45" s="219">
        <v>3001</v>
      </c>
      <c r="G45" s="225"/>
      <c r="H45" s="67"/>
      <c r="I45" s="229"/>
      <c r="J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7"/>
    </row>
    <row r="46" spans="3:11" x14ac:dyDescent="0.3">
      <c r="C46" s="219" t="s">
        <v>1928</v>
      </c>
      <c r="D46" s="221">
        <v>37</v>
      </c>
      <c r="E46" s="223" t="s">
        <v>1102</v>
      </c>
      <c r="F46" s="219">
        <v>3001</v>
      </c>
      <c r="G46" s="225"/>
      <c r="H46" s="67"/>
      <c r="I46" s="229"/>
      <c r="J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7"/>
    </row>
    <row r="47" spans="3:11" x14ac:dyDescent="0.3">
      <c r="C47" s="219" t="s">
        <v>1929</v>
      </c>
      <c r="D47" s="221">
        <v>38</v>
      </c>
      <c r="E47" s="223" t="s">
        <v>1102</v>
      </c>
      <c r="F47" s="219">
        <v>3001</v>
      </c>
      <c r="G47" s="225"/>
      <c r="H47" s="67"/>
      <c r="I47" s="229"/>
      <c r="J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7"/>
    </row>
    <row r="48" spans="3:11" x14ac:dyDescent="0.3">
      <c r="C48" s="219" t="s">
        <v>1930</v>
      </c>
      <c r="D48" s="221">
        <v>39</v>
      </c>
      <c r="E48" s="223" t="s">
        <v>1102</v>
      </c>
      <c r="F48" s="219">
        <v>3001</v>
      </c>
      <c r="G48" s="225"/>
      <c r="H48" s="67"/>
      <c r="I48" s="229"/>
      <c r="J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7"/>
    </row>
    <row r="49" spans="3:11" x14ac:dyDescent="0.3">
      <c r="C49" s="219" t="s">
        <v>1931</v>
      </c>
      <c r="D49" s="221">
        <v>40</v>
      </c>
      <c r="E49" s="223" t="s">
        <v>1102</v>
      </c>
      <c r="F49" s="219">
        <v>3001</v>
      </c>
      <c r="G49" s="225"/>
      <c r="H49" s="67"/>
      <c r="I49" s="229"/>
      <c r="J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7"/>
    </row>
    <row r="50" spans="3:11" x14ac:dyDescent="0.3">
      <c r="C50" s="219" t="s">
        <v>1932</v>
      </c>
      <c r="D50" s="221">
        <v>41</v>
      </c>
      <c r="E50" s="223" t="s">
        <v>1102</v>
      </c>
      <c r="F50" s="219">
        <v>3001</v>
      </c>
      <c r="G50" s="225"/>
      <c r="H50" s="67"/>
      <c r="I50" s="229"/>
      <c r="J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7"/>
    </row>
    <row r="51" spans="3:11" x14ac:dyDescent="0.3">
      <c r="C51" s="219" t="s">
        <v>1933</v>
      </c>
      <c r="D51" s="221">
        <v>42</v>
      </c>
      <c r="E51" s="223" t="s">
        <v>1102</v>
      </c>
      <c r="F51" s="219">
        <v>3001</v>
      </c>
      <c r="G51" s="225"/>
      <c r="H51" s="67"/>
      <c r="I51" s="229"/>
      <c r="J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7"/>
    </row>
    <row r="52" spans="3:11" x14ac:dyDescent="0.3">
      <c r="C52" s="219" t="s">
        <v>1934</v>
      </c>
      <c r="D52" s="221">
        <v>43</v>
      </c>
      <c r="E52" s="223" t="s">
        <v>1102</v>
      </c>
      <c r="F52" s="219">
        <v>3001</v>
      </c>
      <c r="G52" s="225"/>
      <c r="H52" s="67"/>
      <c r="I52" s="229"/>
      <c r="J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7"/>
    </row>
    <row r="53" spans="3:11" x14ac:dyDescent="0.3">
      <c r="C53" s="219" t="s">
        <v>1935</v>
      </c>
      <c r="D53" s="221">
        <v>44</v>
      </c>
      <c r="E53" s="223" t="s">
        <v>1102</v>
      </c>
      <c r="F53" s="219">
        <v>3001</v>
      </c>
      <c r="G53" s="225"/>
      <c r="H53" s="67"/>
      <c r="I53" s="229"/>
      <c r="J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7"/>
    </row>
    <row r="54" spans="3:11" x14ac:dyDescent="0.3">
      <c r="C54" s="219" t="s">
        <v>1936</v>
      </c>
      <c r="D54" s="221">
        <v>45</v>
      </c>
      <c r="E54" s="223" t="s">
        <v>1102</v>
      </c>
      <c r="F54" s="219">
        <v>3001</v>
      </c>
      <c r="G54" s="225"/>
      <c r="H54" s="67"/>
      <c r="I54" s="229"/>
      <c r="J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7"/>
    </row>
    <row r="55" spans="3:11" x14ac:dyDescent="0.3">
      <c r="C55" s="219" t="s">
        <v>1937</v>
      </c>
      <c r="D55" s="221">
        <v>46</v>
      </c>
      <c r="E55" s="223" t="s">
        <v>1102</v>
      </c>
      <c r="F55" s="219">
        <v>3001</v>
      </c>
      <c r="G55" s="225"/>
      <c r="H55" s="67"/>
      <c r="I55" s="229"/>
      <c r="J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7"/>
    </row>
    <row r="56" spans="3:11" x14ac:dyDescent="0.3">
      <c r="C56" s="219" t="s">
        <v>1938</v>
      </c>
      <c r="D56" s="221">
        <v>47</v>
      </c>
      <c r="E56" s="223" t="s">
        <v>1102</v>
      </c>
      <c r="F56" s="219">
        <v>3001</v>
      </c>
      <c r="G56" s="225"/>
      <c r="H56" s="67"/>
      <c r="I56" s="229"/>
      <c r="J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7"/>
    </row>
    <row r="57" spans="3:11" x14ac:dyDescent="0.3">
      <c r="C57" s="219" t="s">
        <v>1939</v>
      </c>
      <c r="D57" s="221">
        <v>48</v>
      </c>
      <c r="E57" s="223" t="s">
        <v>1102</v>
      </c>
      <c r="F57" s="219">
        <v>3001</v>
      </c>
      <c r="G57" s="225"/>
      <c r="H57" s="67"/>
      <c r="I57" s="229"/>
      <c r="J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7"/>
    </row>
    <row r="58" spans="3:11" x14ac:dyDescent="0.3">
      <c r="C58" s="219" t="s">
        <v>1940</v>
      </c>
      <c r="D58" s="221">
        <v>49</v>
      </c>
      <c r="E58" s="223" t="s">
        <v>1102</v>
      </c>
      <c r="F58" s="219">
        <v>3001</v>
      </c>
      <c r="G58" s="225"/>
      <c r="H58" s="67"/>
      <c r="I58" s="229"/>
      <c r="J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7"/>
    </row>
    <row r="59" spans="3:11" x14ac:dyDescent="0.3">
      <c r="C59" s="219" t="s">
        <v>1941</v>
      </c>
      <c r="D59" s="221">
        <v>50</v>
      </c>
      <c r="E59" s="223" t="s">
        <v>1102</v>
      </c>
      <c r="F59" s="219">
        <v>3001</v>
      </c>
      <c r="G59" s="225"/>
      <c r="H59" s="67"/>
      <c r="I59" s="229"/>
      <c r="J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7"/>
    </row>
    <row r="60" spans="3:11" x14ac:dyDescent="0.3">
      <c r="C60" s="219" t="s">
        <v>1942</v>
      </c>
      <c r="D60" s="221">
        <v>51</v>
      </c>
      <c r="E60" s="223" t="s">
        <v>1102</v>
      </c>
      <c r="F60" s="219">
        <v>3001</v>
      </c>
      <c r="G60" s="225"/>
      <c r="H60" s="67"/>
      <c r="I60" s="229"/>
      <c r="J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7"/>
    </row>
    <row r="61" spans="3:11" x14ac:dyDescent="0.3">
      <c r="C61" s="219" t="s">
        <v>1943</v>
      </c>
      <c r="D61" s="221">
        <v>52</v>
      </c>
      <c r="E61" s="223" t="s">
        <v>1102</v>
      </c>
      <c r="F61" s="219">
        <v>3001</v>
      </c>
      <c r="G61" s="225"/>
      <c r="H61" s="67"/>
      <c r="I61" s="229"/>
      <c r="J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7"/>
    </row>
    <row r="62" spans="3:11" x14ac:dyDescent="0.3">
      <c r="C62" s="219" t="s">
        <v>1944</v>
      </c>
      <c r="D62" s="221">
        <v>53</v>
      </c>
      <c r="E62" s="223" t="s">
        <v>1102</v>
      </c>
      <c r="F62" s="219">
        <v>3001</v>
      </c>
      <c r="G62" s="225"/>
      <c r="H62" s="67"/>
      <c r="I62" s="229"/>
      <c r="J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7"/>
    </row>
    <row r="63" spans="3:11" x14ac:dyDescent="0.3">
      <c r="C63" s="219" t="s">
        <v>1945</v>
      </c>
      <c r="D63" s="221">
        <v>54</v>
      </c>
      <c r="E63" s="223" t="s">
        <v>1102</v>
      </c>
      <c r="F63" s="219">
        <v>3001</v>
      </c>
      <c r="G63" s="225"/>
      <c r="H63" s="67"/>
      <c r="I63" s="229"/>
      <c r="J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7"/>
    </row>
    <row r="64" spans="3:11" x14ac:dyDescent="0.3">
      <c r="C64" s="219" t="s">
        <v>1946</v>
      </c>
      <c r="D64" s="221">
        <v>55</v>
      </c>
      <c r="E64" s="223" t="s">
        <v>1102</v>
      </c>
      <c r="F64" s="219">
        <v>3001</v>
      </c>
      <c r="G64" s="225"/>
      <c r="H64" s="67"/>
      <c r="I64" s="229"/>
      <c r="J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7"/>
    </row>
    <row r="65" spans="3:11" x14ac:dyDescent="0.3">
      <c r="C65" s="219" t="s">
        <v>1947</v>
      </c>
      <c r="D65" s="221">
        <v>56</v>
      </c>
      <c r="E65" s="223" t="s">
        <v>1102</v>
      </c>
      <c r="F65" s="219">
        <v>3001</v>
      </c>
      <c r="G65" s="225"/>
      <c r="H65" s="67"/>
      <c r="I65" s="229"/>
      <c r="J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7"/>
    </row>
    <row r="66" spans="3:11" x14ac:dyDescent="0.3">
      <c r="C66" s="219" t="s">
        <v>1948</v>
      </c>
      <c r="D66" s="221">
        <v>57</v>
      </c>
      <c r="E66" s="223" t="s">
        <v>1102</v>
      </c>
      <c r="F66" s="219">
        <v>3001</v>
      </c>
      <c r="G66" s="225"/>
      <c r="H66" s="67"/>
      <c r="I66" s="229"/>
      <c r="J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7"/>
    </row>
    <row r="67" spans="3:11" x14ac:dyDescent="0.3">
      <c r="C67" s="219" t="s">
        <v>1949</v>
      </c>
      <c r="D67" s="221">
        <v>58</v>
      </c>
      <c r="E67" s="223" t="s">
        <v>1102</v>
      </c>
      <c r="F67" s="219">
        <v>3001</v>
      </c>
      <c r="G67" s="225"/>
      <c r="H67" s="67"/>
      <c r="I67" s="229"/>
      <c r="J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7"/>
    </row>
    <row r="68" spans="3:11" x14ac:dyDescent="0.3">
      <c r="C68" s="219" t="s">
        <v>1950</v>
      </c>
      <c r="D68" s="221">
        <v>59</v>
      </c>
      <c r="E68" s="223" t="s">
        <v>1102</v>
      </c>
      <c r="F68" s="219">
        <v>3001</v>
      </c>
      <c r="G68" s="225"/>
      <c r="H68" s="67"/>
      <c r="I68" s="229"/>
      <c r="J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7"/>
    </row>
    <row r="69" spans="3:11" x14ac:dyDescent="0.3">
      <c r="C69" s="219" t="s">
        <v>1951</v>
      </c>
      <c r="D69" s="221">
        <v>60</v>
      </c>
      <c r="E69" s="223" t="s">
        <v>1102</v>
      </c>
      <c r="F69" s="219">
        <v>3001</v>
      </c>
      <c r="G69" s="225"/>
      <c r="H69" s="67"/>
      <c r="I69" s="229"/>
      <c r="J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7"/>
    </row>
    <row r="70" spans="3:11" x14ac:dyDescent="0.3">
      <c r="C70" s="219" t="s">
        <v>1952</v>
      </c>
      <c r="D70" s="221">
        <v>61</v>
      </c>
      <c r="E70" s="223" t="s">
        <v>1102</v>
      </c>
      <c r="F70" s="219">
        <v>3001</v>
      </c>
      <c r="G70" s="225"/>
      <c r="H70" s="67"/>
      <c r="I70" s="229"/>
      <c r="J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7"/>
    </row>
    <row r="71" spans="3:11" x14ac:dyDescent="0.3">
      <c r="C71" s="219" t="s">
        <v>1953</v>
      </c>
      <c r="D71" s="221">
        <v>62</v>
      </c>
      <c r="E71" s="223" t="s">
        <v>1102</v>
      </c>
      <c r="F71" s="219">
        <v>3001</v>
      </c>
      <c r="G71" s="225"/>
      <c r="H71" s="67"/>
      <c r="I71" s="229"/>
      <c r="J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7"/>
    </row>
    <row r="72" spans="3:11" x14ac:dyDescent="0.3">
      <c r="C72" s="219" t="s">
        <v>1954</v>
      </c>
      <c r="D72" s="221">
        <v>63</v>
      </c>
      <c r="E72" s="223" t="s">
        <v>1102</v>
      </c>
      <c r="F72" s="219">
        <v>3001</v>
      </c>
      <c r="G72" s="225"/>
      <c r="H72" s="67"/>
      <c r="I72" s="229"/>
      <c r="J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7"/>
    </row>
    <row r="73" spans="3:11" x14ac:dyDescent="0.3">
      <c r="C73" s="219" t="s">
        <v>1955</v>
      </c>
      <c r="D73" s="221">
        <v>64</v>
      </c>
      <c r="E73" s="223" t="s">
        <v>1102</v>
      </c>
      <c r="F73" s="219">
        <v>3001</v>
      </c>
      <c r="G73" s="225"/>
      <c r="H73" s="67"/>
      <c r="I73" s="229"/>
      <c r="J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7"/>
    </row>
    <row r="74" spans="3:11" x14ac:dyDescent="0.3">
      <c r="C74" s="219" t="s">
        <v>1956</v>
      </c>
      <c r="D74" s="221">
        <v>65</v>
      </c>
      <c r="E74" s="223" t="s">
        <v>1102</v>
      </c>
      <c r="F74" s="219">
        <v>3001</v>
      </c>
      <c r="G74" s="225"/>
      <c r="H74" s="67"/>
      <c r="I74" s="229"/>
      <c r="J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7"/>
    </row>
    <row r="75" spans="3:11" x14ac:dyDescent="0.3">
      <c r="C75" s="219" t="s">
        <v>1957</v>
      </c>
      <c r="D75" s="221">
        <v>66</v>
      </c>
      <c r="E75" s="223" t="s">
        <v>1102</v>
      </c>
      <c r="F75" s="219">
        <v>3001</v>
      </c>
      <c r="G75" s="225"/>
      <c r="H75" s="67"/>
      <c r="I75" s="229"/>
      <c r="J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7"/>
    </row>
    <row r="76" spans="3:11" x14ac:dyDescent="0.3">
      <c r="C76" s="219" t="s">
        <v>1958</v>
      </c>
      <c r="D76" s="221">
        <v>67</v>
      </c>
      <c r="E76" s="223" t="s">
        <v>1102</v>
      </c>
      <c r="F76" s="219">
        <v>3001</v>
      </c>
      <c r="G76" s="225"/>
      <c r="H76" s="67"/>
      <c r="I76" s="229"/>
      <c r="J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7"/>
    </row>
    <row r="77" spans="3:11" x14ac:dyDescent="0.3">
      <c r="C77" s="219" t="s">
        <v>1959</v>
      </c>
      <c r="D77" s="221">
        <v>68</v>
      </c>
      <c r="E77" s="223" t="s">
        <v>1102</v>
      </c>
      <c r="F77" s="219">
        <v>3001</v>
      </c>
      <c r="G77" s="225"/>
      <c r="H77" s="67"/>
      <c r="I77" s="229"/>
      <c r="J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7"/>
    </row>
    <row r="78" spans="3:11" x14ac:dyDescent="0.3">
      <c r="C78" s="219" t="s">
        <v>1960</v>
      </c>
      <c r="D78" s="221">
        <v>69</v>
      </c>
      <c r="E78" s="223" t="s">
        <v>1102</v>
      </c>
      <c r="F78" s="219">
        <v>3001</v>
      </c>
      <c r="G78" s="225"/>
      <c r="H78" s="67"/>
      <c r="I78" s="229"/>
      <c r="J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7"/>
    </row>
    <row r="79" spans="3:11" x14ac:dyDescent="0.3">
      <c r="C79" s="219" t="s">
        <v>1961</v>
      </c>
      <c r="D79" s="221">
        <v>70</v>
      </c>
      <c r="E79" s="223" t="s">
        <v>1102</v>
      </c>
      <c r="F79" s="219">
        <v>3001</v>
      </c>
      <c r="G79" s="225"/>
      <c r="H79" s="67"/>
      <c r="I79" s="229"/>
      <c r="J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7"/>
    </row>
    <row r="80" spans="3:11" x14ac:dyDescent="0.3">
      <c r="C80" s="219" t="s">
        <v>1962</v>
      </c>
      <c r="D80" s="221">
        <v>71</v>
      </c>
      <c r="E80" s="223" t="s">
        <v>1102</v>
      </c>
      <c r="F80" s="219">
        <v>3001</v>
      </c>
      <c r="G80" s="225"/>
      <c r="H80" s="67"/>
      <c r="I80" s="229"/>
      <c r="J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7"/>
    </row>
    <row r="81" spans="3:11" x14ac:dyDescent="0.3">
      <c r="C81" s="219" t="s">
        <v>1963</v>
      </c>
      <c r="D81" s="221">
        <v>72</v>
      </c>
      <c r="E81" s="223" t="s">
        <v>1102</v>
      </c>
      <c r="F81" s="219">
        <v>3001</v>
      </c>
      <c r="G81" s="225"/>
      <c r="H81" s="67"/>
      <c r="I81" s="229"/>
      <c r="J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7"/>
    </row>
    <row r="82" spans="3:11" x14ac:dyDescent="0.3">
      <c r="C82" s="219" t="s">
        <v>1964</v>
      </c>
      <c r="D82" s="221">
        <v>73</v>
      </c>
      <c r="E82" s="223" t="s">
        <v>1102</v>
      </c>
      <c r="F82" s="219">
        <v>3001</v>
      </c>
      <c r="G82" s="225"/>
      <c r="H82" s="67"/>
      <c r="I82" s="229"/>
      <c r="J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7"/>
    </row>
    <row r="83" spans="3:11" x14ac:dyDescent="0.3">
      <c r="C83" s="219" t="s">
        <v>1965</v>
      </c>
      <c r="D83" s="221">
        <v>74</v>
      </c>
      <c r="E83" s="223" t="s">
        <v>1102</v>
      </c>
      <c r="F83" s="219">
        <v>3001</v>
      </c>
      <c r="G83" s="225"/>
      <c r="H83" s="67"/>
      <c r="I83" s="229"/>
      <c r="J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7"/>
    </row>
    <row r="84" spans="3:11" x14ac:dyDescent="0.3">
      <c r="C84" s="219" t="s">
        <v>1966</v>
      </c>
      <c r="D84" s="221">
        <v>75</v>
      </c>
      <c r="E84" s="223" t="s">
        <v>1102</v>
      </c>
      <c r="F84" s="219">
        <v>3001</v>
      </c>
      <c r="G84" s="225"/>
      <c r="H84" s="67"/>
      <c r="I84" s="229"/>
      <c r="J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7"/>
    </row>
    <row r="85" spans="3:11" x14ac:dyDescent="0.3">
      <c r="C85" s="219" t="s">
        <v>1967</v>
      </c>
      <c r="D85" s="221">
        <v>76</v>
      </c>
      <c r="E85" s="223" t="s">
        <v>1102</v>
      </c>
      <c r="F85" s="219">
        <v>3001</v>
      </c>
      <c r="G85" s="225"/>
      <c r="H85" s="67"/>
      <c r="I85" s="229"/>
      <c r="J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7"/>
    </row>
    <row r="86" spans="3:11" x14ac:dyDescent="0.3">
      <c r="C86" s="219" t="s">
        <v>1968</v>
      </c>
      <c r="D86" s="221">
        <v>77</v>
      </c>
      <c r="E86" s="223" t="s">
        <v>1102</v>
      </c>
      <c r="F86" s="219">
        <v>3001</v>
      </c>
      <c r="G86" s="225"/>
      <c r="H86" s="67"/>
      <c r="I86" s="229"/>
      <c r="J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7"/>
    </row>
    <row r="87" spans="3:11" x14ac:dyDescent="0.3">
      <c r="C87" s="219" t="s">
        <v>1969</v>
      </c>
      <c r="D87" s="221">
        <v>78</v>
      </c>
      <c r="E87" s="223" t="s">
        <v>1102</v>
      </c>
      <c r="F87" s="219">
        <v>3001</v>
      </c>
      <c r="G87" s="225"/>
      <c r="H87" s="67"/>
      <c r="I87" s="229"/>
      <c r="J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7"/>
    </row>
    <row r="88" spans="3:11" x14ac:dyDescent="0.3">
      <c r="C88" s="219" t="s">
        <v>1970</v>
      </c>
      <c r="D88" s="221">
        <v>79</v>
      </c>
      <c r="E88" s="223" t="s">
        <v>1102</v>
      </c>
      <c r="F88" s="219">
        <v>3001</v>
      </c>
      <c r="G88" s="225"/>
      <c r="H88" s="67"/>
      <c r="I88" s="229"/>
      <c r="J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7"/>
    </row>
    <row r="89" spans="3:11" x14ac:dyDescent="0.3">
      <c r="C89" s="219" t="s">
        <v>1971</v>
      </c>
      <c r="D89" s="221">
        <v>80</v>
      </c>
      <c r="E89" s="223" t="s">
        <v>1102</v>
      </c>
      <c r="F89" s="219">
        <v>3001</v>
      </c>
      <c r="G89" s="225"/>
      <c r="H89" s="67"/>
      <c r="I89" s="229"/>
      <c r="J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7"/>
    </row>
    <row r="90" spans="3:11" x14ac:dyDescent="0.3">
      <c r="C90" s="219" t="s">
        <v>1972</v>
      </c>
      <c r="D90" s="221">
        <v>81</v>
      </c>
      <c r="E90" s="223" t="s">
        <v>1102</v>
      </c>
      <c r="F90" s="219">
        <v>3001</v>
      </c>
      <c r="G90" s="225"/>
      <c r="H90" s="67"/>
      <c r="I90" s="229"/>
      <c r="J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7"/>
    </row>
    <row r="91" spans="3:11" x14ac:dyDescent="0.3">
      <c r="C91" s="219" t="s">
        <v>1973</v>
      </c>
      <c r="D91" s="221">
        <v>82</v>
      </c>
      <c r="E91" s="223" t="s">
        <v>1102</v>
      </c>
      <c r="F91" s="219">
        <v>3001</v>
      </c>
      <c r="G91" s="225"/>
      <c r="H91" s="67"/>
      <c r="I91" s="229"/>
      <c r="J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7"/>
    </row>
    <row r="92" spans="3:11" x14ac:dyDescent="0.3">
      <c r="C92" s="219" t="s">
        <v>1974</v>
      </c>
      <c r="D92" s="221">
        <v>83</v>
      </c>
      <c r="E92" s="223" t="s">
        <v>1102</v>
      </c>
      <c r="F92" s="219">
        <v>3001</v>
      </c>
      <c r="G92" s="225"/>
      <c r="H92" s="67"/>
      <c r="I92" s="229"/>
      <c r="J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7"/>
    </row>
    <row r="93" spans="3:11" x14ac:dyDescent="0.3">
      <c r="C93" s="219" t="s">
        <v>1975</v>
      </c>
      <c r="D93" s="221">
        <v>84</v>
      </c>
      <c r="E93" s="223" t="s">
        <v>1102</v>
      </c>
      <c r="F93" s="219">
        <v>3001</v>
      </c>
      <c r="G93" s="225"/>
      <c r="H93" s="67"/>
      <c r="I93" s="229"/>
      <c r="J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7"/>
    </row>
    <row r="94" spans="3:11" x14ac:dyDescent="0.3">
      <c r="C94" s="219" t="s">
        <v>1976</v>
      </c>
      <c r="D94" s="221">
        <v>85</v>
      </c>
      <c r="E94" s="223" t="s">
        <v>1102</v>
      </c>
      <c r="F94" s="219">
        <v>3001</v>
      </c>
      <c r="G94" s="225"/>
      <c r="H94" s="67"/>
      <c r="I94" s="229"/>
      <c r="J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7"/>
    </row>
    <row r="95" spans="3:11" x14ac:dyDescent="0.3">
      <c r="C95" s="219" t="s">
        <v>1977</v>
      </c>
      <c r="D95" s="221">
        <v>86</v>
      </c>
      <c r="E95" s="223" t="s">
        <v>1102</v>
      </c>
      <c r="F95" s="219">
        <v>3001</v>
      </c>
      <c r="G95" s="225"/>
      <c r="H95" s="67"/>
      <c r="I95" s="229"/>
      <c r="J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7"/>
    </row>
    <row r="96" spans="3:11" x14ac:dyDescent="0.3">
      <c r="C96" s="219" t="s">
        <v>1978</v>
      </c>
      <c r="D96" s="221">
        <v>87</v>
      </c>
      <c r="E96" s="223" t="s">
        <v>1102</v>
      </c>
      <c r="F96" s="219">
        <v>3001</v>
      </c>
      <c r="G96" s="225"/>
      <c r="H96" s="67"/>
      <c r="I96" s="229"/>
      <c r="J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7"/>
    </row>
    <row r="97" spans="3:11" x14ac:dyDescent="0.3">
      <c r="C97" s="219" t="s">
        <v>1979</v>
      </c>
      <c r="D97" s="221">
        <v>88</v>
      </c>
      <c r="E97" s="223" t="s">
        <v>1102</v>
      </c>
      <c r="F97" s="219">
        <v>3001</v>
      </c>
      <c r="G97" s="225"/>
      <c r="H97" s="67"/>
      <c r="I97" s="229"/>
      <c r="J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7"/>
    </row>
    <row r="98" spans="3:11" x14ac:dyDescent="0.3">
      <c r="C98" s="219" t="s">
        <v>1980</v>
      </c>
      <c r="D98" s="221">
        <v>89</v>
      </c>
      <c r="E98" s="223" t="s">
        <v>1102</v>
      </c>
      <c r="F98" s="219">
        <v>3001</v>
      </c>
      <c r="G98" s="225"/>
      <c r="H98" s="67"/>
      <c r="I98" s="229"/>
      <c r="J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7"/>
    </row>
    <row r="99" spans="3:11" x14ac:dyDescent="0.3">
      <c r="C99" s="219" t="s">
        <v>1981</v>
      </c>
      <c r="D99" s="221">
        <v>90</v>
      </c>
      <c r="E99" s="223" t="s">
        <v>1102</v>
      </c>
      <c r="F99" s="219">
        <v>3001</v>
      </c>
      <c r="G99" s="225"/>
      <c r="H99" s="67"/>
      <c r="I99" s="229"/>
      <c r="J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7"/>
    </row>
    <row r="100" spans="3:11" x14ac:dyDescent="0.3">
      <c r="C100" s="219" t="s">
        <v>1119</v>
      </c>
      <c r="D100" s="221">
        <v>1</v>
      </c>
      <c r="E100" s="253" t="s">
        <v>233</v>
      </c>
      <c r="F100" s="219">
        <v>3100</v>
      </c>
      <c r="G100" s="225" t="s">
        <v>1111</v>
      </c>
      <c r="H100" s="67" t="s">
        <v>235</v>
      </c>
      <c r="I100" s="229" t="s">
        <v>2595</v>
      </c>
      <c r="J1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1 - TEMP - Temperatura de descarga</v>
      </c>
      <c r="K100" s="67"/>
    </row>
    <row r="101" spans="3:11" x14ac:dyDescent="0.3">
      <c r="C101" s="219" t="s">
        <v>1120</v>
      </c>
      <c r="D101" s="221">
        <v>2</v>
      </c>
      <c r="E101" s="253" t="s">
        <v>233</v>
      </c>
      <c r="F101" s="219">
        <v>3100</v>
      </c>
      <c r="G101" s="225" t="s">
        <v>1113</v>
      </c>
      <c r="H101" s="67" t="s">
        <v>1100</v>
      </c>
      <c r="I101" s="229" t="s">
        <v>2759</v>
      </c>
      <c r="J1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3 - FIJO - asdasd</v>
      </c>
      <c r="K101" s="67"/>
    </row>
    <row r="102" spans="3:11" x14ac:dyDescent="0.3">
      <c r="C102" s="219" t="s">
        <v>1121</v>
      </c>
      <c r="D102" s="221">
        <v>3</v>
      </c>
      <c r="E102" s="253" t="s">
        <v>233</v>
      </c>
      <c r="F102" s="219">
        <v>3100</v>
      </c>
      <c r="G102" s="225"/>
      <c r="H102" s="67"/>
      <c r="I102" s="229" t="s">
        <v>2759</v>
      </c>
      <c r="J1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2" s="67"/>
    </row>
    <row r="103" spans="3:11" x14ac:dyDescent="0.3">
      <c r="C103" s="219" t="s">
        <v>1122</v>
      </c>
      <c r="D103" s="221">
        <v>4</v>
      </c>
      <c r="E103" s="253" t="s">
        <v>233</v>
      </c>
      <c r="F103" s="219">
        <v>3100</v>
      </c>
      <c r="G103" s="225"/>
      <c r="H103" s="67"/>
      <c r="I103" s="229" t="s">
        <v>2759</v>
      </c>
      <c r="J1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3" s="67"/>
    </row>
    <row r="104" spans="3:11" x14ac:dyDescent="0.3">
      <c r="C104" s="219" t="s">
        <v>1123</v>
      </c>
      <c r="D104" s="221">
        <v>5</v>
      </c>
      <c r="E104" s="253" t="s">
        <v>233</v>
      </c>
      <c r="F104" s="219">
        <v>3100</v>
      </c>
      <c r="G104" s="225"/>
      <c r="H104" s="67"/>
      <c r="I104" s="229" t="s">
        <v>2759</v>
      </c>
      <c r="J1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4" s="67"/>
    </row>
    <row r="105" spans="3:11" x14ac:dyDescent="0.3">
      <c r="C105" s="219" t="s">
        <v>1124</v>
      </c>
      <c r="D105" s="221">
        <v>6</v>
      </c>
      <c r="E105" s="253" t="s">
        <v>233</v>
      </c>
      <c r="F105" s="219">
        <v>3100</v>
      </c>
      <c r="G105" s="225"/>
      <c r="H105" s="67"/>
      <c r="I105" s="229" t="s">
        <v>2759</v>
      </c>
      <c r="J1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5" s="67"/>
    </row>
    <row r="106" spans="3:11" x14ac:dyDescent="0.3">
      <c r="C106" s="219" t="s">
        <v>1125</v>
      </c>
      <c r="D106" s="221">
        <v>7</v>
      </c>
      <c r="E106" s="253" t="s">
        <v>233</v>
      </c>
      <c r="F106" s="219">
        <v>3100</v>
      </c>
      <c r="G106" s="225"/>
      <c r="H106" s="67"/>
      <c r="I106" s="229" t="s">
        <v>2759</v>
      </c>
      <c r="J1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6" s="67"/>
    </row>
    <row r="107" spans="3:11" x14ac:dyDescent="0.3">
      <c r="C107" s="219" t="s">
        <v>1126</v>
      </c>
      <c r="D107" s="221">
        <v>8</v>
      </c>
      <c r="E107" s="253" t="s">
        <v>233</v>
      </c>
      <c r="F107" s="219">
        <v>3100</v>
      </c>
      <c r="G107" s="225"/>
      <c r="H107" s="67"/>
      <c r="I107" s="229" t="s">
        <v>2759</v>
      </c>
      <c r="J1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7" s="67"/>
    </row>
    <row r="108" spans="3:11" x14ac:dyDescent="0.3">
      <c r="C108" s="219" t="s">
        <v>1127</v>
      </c>
      <c r="D108" s="221">
        <v>9</v>
      </c>
      <c r="E108" s="253" t="s">
        <v>233</v>
      </c>
      <c r="F108" s="219">
        <v>3100</v>
      </c>
      <c r="G108" s="225"/>
      <c r="H108" s="67"/>
      <c r="I108" s="229" t="s">
        <v>2759</v>
      </c>
      <c r="J1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8" s="67"/>
    </row>
    <row r="109" spans="3:11" x14ac:dyDescent="0.3">
      <c r="C109" s="219" t="s">
        <v>1128</v>
      </c>
      <c r="D109" s="221">
        <v>10</v>
      </c>
      <c r="E109" s="253" t="s">
        <v>233</v>
      </c>
      <c r="F109" s="219">
        <v>3100</v>
      </c>
      <c r="G109" s="225"/>
      <c r="H109" s="67"/>
      <c r="I109" s="229" t="s">
        <v>2759</v>
      </c>
      <c r="J1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9" s="67"/>
    </row>
    <row r="110" spans="3:11" x14ac:dyDescent="0.3">
      <c r="C110" s="219" t="s">
        <v>1129</v>
      </c>
      <c r="D110" s="221">
        <v>11</v>
      </c>
      <c r="E110" s="253" t="s">
        <v>233</v>
      </c>
      <c r="F110" s="219">
        <v>3100</v>
      </c>
      <c r="G110" s="225"/>
      <c r="H110" s="67"/>
      <c r="I110" s="229" t="s">
        <v>2759</v>
      </c>
      <c r="J1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0" s="67"/>
    </row>
    <row r="111" spans="3:11" x14ac:dyDescent="0.3">
      <c r="C111" s="219" t="s">
        <v>1130</v>
      </c>
      <c r="D111" s="221">
        <v>12</v>
      </c>
      <c r="E111" s="253" t="s">
        <v>233</v>
      </c>
      <c r="F111" s="219">
        <v>3100</v>
      </c>
      <c r="G111" s="225"/>
      <c r="H111" s="67"/>
      <c r="I111" s="229" t="s">
        <v>2759</v>
      </c>
      <c r="J1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1" s="67"/>
    </row>
    <row r="112" spans="3:11" x14ac:dyDescent="0.3">
      <c r="C112" s="219" t="s">
        <v>1131</v>
      </c>
      <c r="D112" s="221">
        <v>13</v>
      </c>
      <c r="E112" s="253" t="s">
        <v>233</v>
      </c>
      <c r="F112" s="219">
        <v>3100</v>
      </c>
      <c r="G112" s="225"/>
      <c r="H112" s="67"/>
      <c r="I112" s="229" t="s">
        <v>2759</v>
      </c>
      <c r="J1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2" s="67"/>
    </row>
    <row r="113" spans="3:11" x14ac:dyDescent="0.3">
      <c r="C113" s="219" t="s">
        <v>1132</v>
      </c>
      <c r="D113" s="221">
        <v>14</v>
      </c>
      <c r="E113" s="253" t="s">
        <v>233</v>
      </c>
      <c r="F113" s="219">
        <v>3100</v>
      </c>
      <c r="G113" s="225"/>
      <c r="H113" s="67"/>
      <c r="I113" s="229"/>
      <c r="J1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3" s="67"/>
    </row>
    <row r="114" spans="3:11" x14ac:dyDescent="0.3">
      <c r="C114" s="219" t="s">
        <v>1133</v>
      </c>
      <c r="D114" s="221">
        <v>15</v>
      </c>
      <c r="E114" s="253" t="s">
        <v>233</v>
      </c>
      <c r="F114" s="219">
        <v>3100</v>
      </c>
      <c r="G114" s="225"/>
      <c r="H114" s="67"/>
      <c r="I114" s="229"/>
      <c r="J1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4" s="67"/>
    </row>
    <row r="115" spans="3:11" x14ac:dyDescent="0.3">
      <c r="C115" s="219" t="s">
        <v>1134</v>
      </c>
      <c r="D115" s="221">
        <v>16</v>
      </c>
      <c r="E115" s="253" t="s">
        <v>233</v>
      </c>
      <c r="F115" s="219">
        <v>3100</v>
      </c>
      <c r="G115" s="225"/>
      <c r="H115" s="67"/>
      <c r="I115" s="229"/>
      <c r="J1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5" s="67"/>
    </row>
    <row r="116" spans="3:11" x14ac:dyDescent="0.3">
      <c r="C116" s="219" t="s">
        <v>1135</v>
      </c>
      <c r="D116" s="221">
        <v>17</v>
      </c>
      <c r="E116" s="253" t="s">
        <v>233</v>
      </c>
      <c r="F116" s="219">
        <v>3100</v>
      </c>
      <c r="G116" s="225"/>
      <c r="H116" s="67"/>
      <c r="I116" s="229"/>
      <c r="J1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6" s="67"/>
    </row>
    <row r="117" spans="3:11" x14ac:dyDescent="0.3">
      <c r="C117" s="219" t="s">
        <v>1136</v>
      </c>
      <c r="D117" s="221">
        <v>18</v>
      </c>
      <c r="E117" s="253" t="s">
        <v>233</v>
      </c>
      <c r="F117" s="219">
        <v>3100</v>
      </c>
      <c r="G117" s="225"/>
      <c r="H117" s="67"/>
      <c r="I117" s="229"/>
      <c r="J1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7" s="67"/>
    </row>
    <row r="118" spans="3:11" x14ac:dyDescent="0.3">
      <c r="C118" s="219" t="s">
        <v>1137</v>
      </c>
      <c r="D118" s="221">
        <v>19</v>
      </c>
      <c r="E118" s="253" t="s">
        <v>233</v>
      </c>
      <c r="F118" s="219">
        <v>3100</v>
      </c>
      <c r="G118" s="225"/>
      <c r="H118" s="67"/>
      <c r="I118" s="229"/>
      <c r="J1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8" s="67"/>
    </row>
    <row r="119" spans="3:11" x14ac:dyDescent="0.3">
      <c r="C119" s="219" t="s">
        <v>1138</v>
      </c>
      <c r="D119" s="221">
        <v>20</v>
      </c>
      <c r="E119" s="253" t="s">
        <v>233</v>
      </c>
      <c r="F119" s="219">
        <v>3100</v>
      </c>
      <c r="G119" s="225"/>
      <c r="H119" s="67"/>
      <c r="I119" s="229"/>
      <c r="J1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9" s="67"/>
    </row>
    <row r="120" spans="3:11" x14ac:dyDescent="0.3">
      <c r="C120" s="219" t="s">
        <v>1453</v>
      </c>
      <c r="D120" s="221">
        <v>21</v>
      </c>
      <c r="E120" s="253" t="s">
        <v>233</v>
      </c>
      <c r="F120" s="219">
        <v>3100</v>
      </c>
      <c r="G120" s="225"/>
      <c r="H120" s="67"/>
      <c r="I120" s="229"/>
      <c r="J1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0" s="67"/>
    </row>
    <row r="121" spans="3:11" x14ac:dyDescent="0.3">
      <c r="C121" s="219" t="s">
        <v>1454</v>
      </c>
      <c r="D121" s="221">
        <v>22</v>
      </c>
      <c r="E121" s="253" t="s">
        <v>233</v>
      </c>
      <c r="F121" s="219">
        <v>3100</v>
      </c>
      <c r="G121" s="225"/>
      <c r="H121" s="67"/>
      <c r="I121" s="229"/>
      <c r="J1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1" s="67"/>
    </row>
    <row r="122" spans="3:11" x14ac:dyDescent="0.3">
      <c r="C122" s="219" t="s">
        <v>1455</v>
      </c>
      <c r="D122" s="221">
        <v>23</v>
      </c>
      <c r="E122" s="253" t="s">
        <v>233</v>
      </c>
      <c r="F122" s="219">
        <v>3100</v>
      </c>
      <c r="G122" s="225"/>
      <c r="H122" s="67"/>
      <c r="I122" s="229"/>
      <c r="J1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2" s="67"/>
    </row>
    <row r="123" spans="3:11" x14ac:dyDescent="0.3">
      <c r="C123" s="219" t="s">
        <v>1456</v>
      </c>
      <c r="D123" s="221">
        <v>24</v>
      </c>
      <c r="E123" s="253" t="s">
        <v>233</v>
      </c>
      <c r="F123" s="219">
        <v>3100</v>
      </c>
      <c r="G123" s="225"/>
      <c r="H123" s="67"/>
      <c r="I123" s="229"/>
      <c r="J1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3" s="67"/>
    </row>
    <row r="124" spans="3:11" x14ac:dyDescent="0.3">
      <c r="C124" s="219" t="s">
        <v>1457</v>
      </c>
      <c r="D124" s="221">
        <v>25</v>
      </c>
      <c r="E124" s="253" t="s">
        <v>233</v>
      </c>
      <c r="F124" s="219">
        <v>3100</v>
      </c>
      <c r="G124" s="225"/>
      <c r="H124" s="67"/>
      <c r="I124" s="229"/>
      <c r="J1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4" s="67"/>
    </row>
    <row r="125" spans="3:11" x14ac:dyDescent="0.3">
      <c r="C125" s="219" t="s">
        <v>1458</v>
      </c>
      <c r="D125" s="221">
        <v>26</v>
      </c>
      <c r="E125" s="253" t="s">
        <v>233</v>
      </c>
      <c r="F125" s="219">
        <v>3100</v>
      </c>
      <c r="G125" s="225"/>
      <c r="H125" s="67"/>
      <c r="I125" s="229"/>
      <c r="J1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5" s="67"/>
    </row>
    <row r="126" spans="3:11" x14ac:dyDescent="0.3">
      <c r="C126" s="219" t="s">
        <v>1459</v>
      </c>
      <c r="D126" s="221">
        <v>27</v>
      </c>
      <c r="E126" s="253" t="s">
        <v>233</v>
      </c>
      <c r="F126" s="219">
        <v>3100</v>
      </c>
      <c r="G126" s="225"/>
      <c r="H126" s="67"/>
      <c r="I126" s="229"/>
      <c r="J1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6" s="67"/>
    </row>
    <row r="127" spans="3:11" x14ac:dyDescent="0.3">
      <c r="C127" s="219" t="s">
        <v>1460</v>
      </c>
      <c r="D127" s="221">
        <v>28</v>
      </c>
      <c r="E127" s="253" t="s">
        <v>233</v>
      </c>
      <c r="F127" s="219">
        <v>3100</v>
      </c>
      <c r="G127" s="225"/>
      <c r="H127" s="67"/>
      <c r="I127" s="229"/>
      <c r="J1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7" s="67"/>
    </row>
    <row r="128" spans="3:11" x14ac:dyDescent="0.3">
      <c r="C128" s="219" t="s">
        <v>1461</v>
      </c>
      <c r="D128" s="221">
        <v>29</v>
      </c>
      <c r="E128" s="253" t="s">
        <v>233</v>
      </c>
      <c r="F128" s="219">
        <v>3100</v>
      </c>
      <c r="G128" s="225"/>
      <c r="H128" s="67"/>
      <c r="I128" s="229"/>
      <c r="J1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8" s="67"/>
    </row>
    <row r="129" spans="3:11" x14ac:dyDescent="0.3">
      <c r="C129" s="219" t="s">
        <v>1462</v>
      </c>
      <c r="D129" s="221">
        <v>30</v>
      </c>
      <c r="E129" s="253" t="s">
        <v>233</v>
      </c>
      <c r="F129" s="219">
        <v>3100</v>
      </c>
      <c r="G129" s="225"/>
      <c r="H129" s="67"/>
      <c r="I129" s="229"/>
      <c r="J1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9" s="67"/>
    </row>
    <row r="130" spans="3:11" x14ac:dyDescent="0.3">
      <c r="C130" s="219" t="s">
        <v>1463</v>
      </c>
      <c r="D130" s="221">
        <v>31</v>
      </c>
      <c r="E130" s="253" t="s">
        <v>233</v>
      </c>
      <c r="F130" s="219">
        <v>3100</v>
      </c>
      <c r="G130" s="225"/>
      <c r="H130" s="67"/>
      <c r="I130" s="229"/>
      <c r="J1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0" s="67"/>
    </row>
    <row r="131" spans="3:11" x14ac:dyDescent="0.3">
      <c r="C131" s="219" t="s">
        <v>1464</v>
      </c>
      <c r="D131" s="221">
        <v>32</v>
      </c>
      <c r="E131" s="253" t="s">
        <v>233</v>
      </c>
      <c r="F131" s="219">
        <v>3100</v>
      </c>
      <c r="G131" s="225"/>
      <c r="H131" s="67"/>
      <c r="I131" s="229"/>
      <c r="J1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1" s="67"/>
    </row>
    <row r="132" spans="3:11" x14ac:dyDescent="0.3">
      <c r="C132" s="219" t="s">
        <v>1465</v>
      </c>
      <c r="D132" s="221">
        <v>33</v>
      </c>
      <c r="E132" s="253" t="s">
        <v>233</v>
      </c>
      <c r="F132" s="219">
        <v>3100</v>
      </c>
      <c r="G132" s="225"/>
      <c r="H132" s="67"/>
      <c r="I132" s="229"/>
      <c r="J1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2" s="67"/>
    </row>
    <row r="133" spans="3:11" x14ac:dyDescent="0.3">
      <c r="C133" s="219" t="s">
        <v>1466</v>
      </c>
      <c r="D133" s="221">
        <v>34</v>
      </c>
      <c r="E133" s="253" t="s">
        <v>233</v>
      </c>
      <c r="F133" s="219">
        <v>3100</v>
      </c>
      <c r="G133" s="225"/>
      <c r="H133" s="67"/>
      <c r="I133" s="229"/>
      <c r="J1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3" s="67"/>
    </row>
    <row r="134" spans="3:11" x14ac:dyDescent="0.3">
      <c r="C134" s="219" t="s">
        <v>1467</v>
      </c>
      <c r="D134" s="221">
        <v>35</v>
      </c>
      <c r="E134" s="253" t="s">
        <v>233</v>
      </c>
      <c r="F134" s="219">
        <v>3100</v>
      </c>
      <c r="G134" s="225"/>
      <c r="H134" s="67"/>
      <c r="I134" s="229"/>
      <c r="J1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4" s="67"/>
    </row>
    <row r="135" spans="3:11" x14ac:dyDescent="0.3">
      <c r="C135" s="219" t="s">
        <v>1468</v>
      </c>
      <c r="D135" s="221">
        <v>36</v>
      </c>
      <c r="E135" s="253" t="s">
        <v>233</v>
      </c>
      <c r="F135" s="219">
        <v>3100</v>
      </c>
      <c r="G135" s="225"/>
      <c r="H135" s="67"/>
      <c r="I135" s="229"/>
      <c r="J1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5" s="67"/>
    </row>
    <row r="136" spans="3:11" x14ac:dyDescent="0.3">
      <c r="C136" s="219" t="s">
        <v>1469</v>
      </c>
      <c r="D136" s="221">
        <v>37</v>
      </c>
      <c r="E136" s="253" t="s">
        <v>233</v>
      </c>
      <c r="F136" s="219">
        <v>3100</v>
      </c>
      <c r="G136" s="225"/>
      <c r="H136" s="67"/>
      <c r="I136" s="229"/>
      <c r="J1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6" s="67"/>
    </row>
    <row r="137" spans="3:11" x14ac:dyDescent="0.3">
      <c r="C137" s="219" t="s">
        <v>1470</v>
      </c>
      <c r="D137" s="221">
        <v>38</v>
      </c>
      <c r="E137" s="253" t="s">
        <v>233</v>
      </c>
      <c r="F137" s="219">
        <v>3100</v>
      </c>
      <c r="G137" s="225"/>
      <c r="H137" s="67"/>
      <c r="I137" s="229"/>
      <c r="J1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7" s="67"/>
    </row>
    <row r="138" spans="3:11" x14ac:dyDescent="0.3">
      <c r="C138" s="219" t="s">
        <v>1471</v>
      </c>
      <c r="D138" s="221">
        <v>39</v>
      </c>
      <c r="E138" s="253" t="s">
        <v>233</v>
      </c>
      <c r="F138" s="219">
        <v>3100</v>
      </c>
      <c r="G138" s="225"/>
      <c r="H138" s="67"/>
      <c r="I138" s="229"/>
      <c r="J1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8" s="67"/>
    </row>
    <row r="139" spans="3:11" x14ac:dyDescent="0.3">
      <c r="C139" s="219" t="s">
        <v>1472</v>
      </c>
      <c r="D139" s="221">
        <v>40</v>
      </c>
      <c r="E139" s="253" t="s">
        <v>233</v>
      </c>
      <c r="F139" s="219">
        <v>3100</v>
      </c>
      <c r="G139" s="225"/>
      <c r="H139" s="67"/>
      <c r="I139" s="229"/>
      <c r="J1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9" s="67"/>
    </row>
    <row r="140" spans="3:11" x14ac:dyDescent="0.3">
      <c r="C140" s="219" t="s">
        <v>1139</v>
      </c>
      <c r="D140" s="221">
        <v>1</v>
      </c>
      <c r="E140" s="254" t="s">
        <v>238</v>
      </c>
      <c r="F140" s="219">
        <v>3110</v>
      </c>
      <c r="G140" s="225"/>
      <c r="H140" s="67"/>
      <c r="I140" s="229"/>
      <c r="J1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0" s="67"/>
    </row>
    <row r="141" spans="3:11" x14ac:dyDescent="0.3">
      <c r="C141" s="219" t="s">
        <v>1140</v>
      </c>
      <c r="D141" s="221">
        <v>2</v>
      </c>
      <c r="E141" s="254" t="s">
        <v>238</v>
      </c>
      <c r="F141" s="219">
        <v>3110</v>
      </c>
      <c r="G141" s="225"/>
      <c r="H141" s="67"/>
      <c r="I141" s="229"/>
      <c r="J1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1" s="67"/>
    </row>
    <row r="142" spans="3:11" x14ac:dyDescent="0.3">
      <c r="C142" s="219" t="s">
        <v>1141</v>
      </c>
      <c r="D142" s="221">
        <v>3</v>
      </c>
      <c r="E142" s="254" t="s">
        <v>238</v>
      </c>
      <c r="F142" s="219">
        <v>3110</v>
      </c>
      <c r="G142" s="225"/>
      <c r="H142" s="67"/>
      <c r="I142" s="229"/>
      <c r="J1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2" s="67"/>
    </row>
    <row r="143" spans="3:11" x14ac:dyDescent="0.3">
      <c r="C143" s="219" t="s">
        <v>1142</v>
      </c>
      <c r="D143" s="221">
        <v>4</v>
      </c>
      <c r="E143" s="254" t="s">
        <v>238</v>
      </c>
      <c r="F143" s="219">
        <v>3110</v>
      </c>
      <c r="G143" s="225"/>
      <c r="H143" s="67"/>
      <c r="I143" s="229"/>
      <c r="J1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3" s="67"/>
    </row>
    <row r="144" spans="3:11" x14ac:dyDescent="0.3">
      <c r="C144" s="219" t="s">
        <v>1143</v>
      </c>
      <c r="D144" s="221">
        <v>5</v>
      </c>
      <c r="E144" s="254" t="s">
        <v>238</v>
      </c>
      <c r="F144" s="219">
        <v>3110</v>
      </c>
      <c r="G144" s="225"/>
      <c r="H144" s="67"/>
      <c r="I144" s="229"/>
      <c r="J1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4" s="67"/>
    </row>
    <row r="145" spans="3:11" x14ac:dyDescent="0.3">
      <c r="C145" s="219" t="s">
        <v>1144</v>
      </c>
      <c r="D145" s="221">
        <v>6</v>
      </c>
      <c r="E145" s="254" t="s">
        <v>238</v>
      </c>
      <c r="F145" s="219">
        <v>3110</v>
      </c>
      <c r="G145" s="225"/>
      <c r="H145" s="67"/>
      <c r="I145" s="229"/>
      <c r="J1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5" s="67"/>
    </row>
    <row r="146" spans="3:11" x14ac:dyDescent="0.3">
      <c r="C146" s="219" t="s">
        <v>1145</v>
      </c>
      <c r="D146" s="221">
        <v>7</v>
      </c>
      <c r="E146" s="254" t="s">
        <v>238</v>
      </c>
      <c r="F146" s="219">
        <v>3110</v>
      </c>
      <c r="G146" s="225"/>
      <c r="H146" s="67"/>
      <c r="I146" s="229"/>
      <c r="J1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6" s="67"/>
    </row>
    <row r="147" spans="3:11" x14ac:dyDescent="0.3">
      <c r="C147" s="219" t="s">
        <v>1146</v>
      </c>
      <c r="D147" s="221">
        <v>8</v>
      </c>
      <c r="E147" s="254" t="s">
        <v>238</v>
      </c>
      <c r="F147" s="219">
        <v>3110</v>
      </c>
      <c r="G147" s="225"/>
      <c r="H147" s="67"/>
      <c r="I147" s="229"/>
      <c r="J1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7" s="67"/>
    </row>
    <row r="148" spans="3:11" x14ac:dyDescent="0.3">
      <c r="C148" s="219" t="s">
        <v>1147</v>
      </c>
      <c r="D148" s="221">
        <v>9</v>
      </c>
      <c r="E148" s="254" t="s">
        <v>238</v>
      </c>
      <c r="F148" s="219">
        <v>3110</v>
      </c>
      <c r="G148" s="225"/>
      <c r="H148" s="67"/>
      <c r="I148" s="229"/>
      <c r="J1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8" s="67"/>
    </row>
    <row r="149" spans="3:11" x14ac:dyDescent="0.3">
      <c r="C149" s="219" t="s">
        <v>1148</v>
      </c>
      <c r="D149" s="221">
        <v>10</v>
      </c>
      <c r="E149" s="254" t="s">
        <v>238</v>
      </c>
      <c r="F149" s="219">
        <v>3110</v>
      </c>
      <c r="G149" s="225"/>
      <c r="H149" s="67"/>
      <c r="I149" s="229"/>
      <c r="J1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9" s="67"/>
    </row>
    <row r="150" spans="3:11" x14ac:dyDescent="0.3">
      <c r="C150" s="219" t="s">
        <v>1149</v>
      </c>
      <c r="D150" s="221">
        <v>11</v>
      </c>
      <c r="E150" s="254" t="s">
        <v>238</v>
      </c>
      <c r="F150" s="219">
        <v>3110</v>
      </c>
      <c r="G150" s="225"/>
      <c r="H150" s="67"/>
      <c r="I150" s="229"/>
      <c r="J1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0" s="67"/>
    </row>
    <row r="151" spans="3:11" x14ac:dyDescent="0.3">
      <c r="C151" s="219" t="s">
        <v>1150</v>
      </c>
      <c r="D151" s="221">
        <v>12</v>
      </c>
      <c r="E151" s="254" t="s">
        <v>238</v>
      </c>
      <c r="F151" s="219">
        <v>3110</v>
      </c>
      <c r="G151" s="225"/>
      <c r="H151" s="67"/>
      <c r="I151" s="229"/>
      <c r="J1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1" s="67"/>
    </row>
    <row r="152" spans="3:11" x14ac:dyDescent="0.3">
      <c r="C152" s="219" t="s">
        <v>1151</v>
      </c>
      <c r="D152" s="221">
        <v>13</v>
      </c>
      <c r="E152" s="254" t="s">
        <v>238</v>
      </c>
      <c r="F152" s="219">
        <v>3110</v>
      </c>
      <c r="G152" s="225"/>
      <c r="H152" s="67"/>
      <c r="I152" s="229"/>
      <c r="J1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2" s="67"/>
    </row>
    <row r="153" spans="3:11" x14ac:dyDescent="0.3">
      <c r="C153" s="219" t="s">
        <v>1152</v>
      </c>
      <c r="D153" s="221">
        <v>14</v>
      </c>
      <c r="E153" s="254" t="s">
        <v>238</v>
      </c>
      <c r="F153" s="219">
        <v>3110</v>
      </c>
      <c r="G153" s="225"/>
      <c r="H153" s="67"/>
      <c r="I153" s="229"/>
      <c r="J1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3" s="67"/>
    </row>
    <row r="154" spans="3:11" x14ac:dyDescent="0.3">
      <c r="C154" s="219" t="s">
        <v>1153</v>
      </c>
      <c r="D154" s="221">
        <v>15</v>
      </c>
      <c r="E154" s="254" t="s">
        <v>238</v>
      </c>
      <c r="F154" s="219">
        <v>3110</v>
      </c>
      <c r="G154" s="225"/>
      <c r="H154" s="67"/>
      <c r="I154" s="229"/>
      <c r="J1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4" s="67"/>
    </row>
    <row r="155" spans="3:11" x14ac:dyDescent="0.3">
      <c r="C155" s="219" t="s">
        <v>1154</v>
      </c>
      <c r="D155" s="221">
        <v>16</v>
      </c>
      <c r="E155" s="254" t="s">
        <v>238</v>
      </c>
      <c r="F155" s="219">
        <v>3110</v>
      </c>
      <c r="G155" s="225"/>
      <c r="H155" s="67"/>
      <c r="I155" s="229"/>
      <c r="J1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5" s="67"/>
    </row>
    <row r="156" spans="3:11" x14ac:dyDescent="0.3">
      <c r="C156" s="219" t="s">
        <v>1155</v>
      </c>
      <c r="D156" s="221">
        <v>17</v>
      </c>
      <c r="E156" s="254" t="s">
        <v>238</v>
      </c>
      <c r="F156" s="219">
        <v>3110</v>
      </c>
      <c r="G156" s="225"/>
      <c r="H156" s="67"/>
      <c r="I156" s="229"/>
      <c r="J1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6" s="67"/>
    </row>
    <row r="157" spans="3:11" x14ac:dyDescent="0.3">
      <c r="C157" s="219" t="s">
        <v>1156</v>
      </c>
      <c r="D157" s="221">
        <v>18</v>
      </c>
      <c r="E157" s="254" t="s">
        <v>238</v>
      </c>
      <c r="F157" s="219">
        <v>3110</v>
      </c>
      <c r="G157" s="225"/>
      <c r="H157" s="67"/>
      <c r="I157" s="229"/>
      <c r="J1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7" s="67"/>
    </row>
    <row r="158" spans="3:11" x14ac:dyDescent="0.3">
      <c r="C158" s="219" t="s">
        <v>1157</v>
      </c>
      <c r="D158" s="221">
        <v>19</v>
      </c>
      <c r="E158" s="254" t="s">
        <v>238</v>
      </c>
      <c r="F158" s="219">
        <v>3110</v>
      </c>
      <c r="G158" s="225"/>
      <c r="H158" s="67"/>
      <c r="I158" s="229"/>
      <c r="J1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8" s="67"/>
    </row>
    <row r="159" spans="3:11" x14ac:dyDescent="0.3">
      <c r="C159" s="219" t="s">
        <v>1158</v>
      </c>
      <c r="D159" s="221">
        <v>20</v>
      </c>
      <c r="E159" s="254" t="s">
        <v>238</v>
      </c>
      <c r="F159" s="219">
        <v>3110</v>
      </c>
      <c r="G159" s="225"/>
      <c r="H159" s="67"/>
      <c r="I159" s="229"/>
      <c r="J1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9" s="67"/>
    </row>
    <row r="160" spans="3:11" x14ac:dyDescent="0.3">
      <c r="C160" s="219" t="s">
        <v>2597</v>
      </c>
      <c r="D160" s="221">
        <v>1</v>
      </c>
      <c r="E160" s="259" t="s">
        <v>2596</v>
      </c>
      <c r="F160" s="219">
        <v>3150</v>
      </c>
      <c r="G160" s="225"/>
      <c r="H160" s="67" t="s">
        <v>1100</v>
      </c>
      <c r="I160" s="229" t="s">
        <v>1756</v>
      </c>
      <c r="J1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FIJO - Frecuencia bomba</v>
      </c>
      <c r="K160" s="67"/>
    </row>
    <row r="161" spans="3:11" x14ac:dyDescent="0.3">
      <c r="C161" s="219" t="s">
        <v>2598</v>
      </c>
      <c r="D161" s="221">
        <v>2</v>
      </c>
      <c r="E161" s="259" t="s">
        <v>2596</v>
      </c>
      <c r="F161" s="219">
        <v>3150</v>
      </c>
      <c r="G161" s="225"/>
      <c r="H161" s="67" t="s">
        <v>235</v>
      </c>
      <c r="I161" s="229" t="s">
        <v>1757</v>
      </c>
      <c r="J1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</v>
      </c>
      <c r="K161" s="67"/>
    </row>
    <row r="162" spans="3:11" x14ac:dyDescent="0.3">
      <c r="C162" s="219" t="s">
        <v>2599</v>
      </c>
      <c r="D162" s="221">
        <v>3</v>
      </c>
      <c r="E162" s="259" t="s">
        <v>2596</v>
      </c>
      <c r="F162" s="219">
        <v>3150</v>
      </c>
      <c r="G162" s="225"/>
      <c r="H162" s="67"/>
      <c r="I162" s="229"/>
      <c r="J1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2" s="67"/>
    </row>
    <row r="163" spans="3:11" x14ac:dyDescent="0.3">
      <c r="C163" s="219" t="s">
        <v>2600</v>
      </c>
      <c r="D163" s="221">
        <v>4</v>
      </c>
      <c r="E163" s="259" t="s">
        <v>2596</v>
      </c>
      <c r="F163" s="219">
        <v>3150</v>
      </c>
      <c r="G163" s="225"/>
      <c r="H163" s="67"/>
      <c r="I163" s="229"/>
      <c r="J1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3" s="67"/>
    </row>
    <row r="164" spans="3:11" x14ac:dyDescent="0.3">
      <c r="C164" s="219" t="s">
        <v>2601</v>
      </c>
      <c r="D164" s="221">
        <v>5</v>
      </c>
      <c r="E164" s="259" t="s">
        <v>2596</v>
      </c>
      <c r="F164" s="219">
        <v>3150</v>
      </c>
      <c r="G164" s="225"/>
      <c r="H164" s="67"/>
      <c r="I164" s="229"/>
      <c r="J1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4" s="67"/>
    </row>
    <row r="165" spans="3:11" x14ac:dyDescent="0.3">
      <c r="C165" s="219" t="s">
        <v>2602</v>
      </c>
      <c r="D165" s="221">
        <v>6</v>
      </c>
      <c r="E165" s="259" t="s">
        <v>2596</v>
      </c>
      <c r="F165" s="219">
        <v>3150</v>
      </c>
      <c r="G165" s="225"/>
      <c r="H165" s="67"/>
      <c r="I165" s="229"/>
      <c r="J1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5" s="67"/>
    </row>
    <row r="166" spans="3:11" x14ac:dyDescent="0.3">
      <c r="C166" s="219" t="s">
        <v>2603</v>
      </c>
      <c r="D166" s="221">
        <v>7</v>
      </c>
      <c r="E166" s="259" t="s">
        <v>2596</v>
      </c>
      <c r="F166" s="219">
        <v>3150</v>
      </c>
      <c r="G166" s="225"/>
      <c r="H166" s="67"/>
      <c r="I166" s="229"/>
      <c r="J1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6" s="67"/>
    </row>
    <row r="167" spans="3:11" x14ac:dyDescent="0.3">
      <c r="C167" s="219" t="s">
        <v>2604</v>
      </c>
      <c r="D167" s="221">
        <v>8</v>
      </c>
      <c r="E167" s="259" t="s">
        <v>2596</v>
      </c>
      <c r="F167" s="219">
        <v>3150</v>
      </c>
      <c r="G167" s="225"/>
      <c r="H167" s="67"/>
      <c r="I167" s="229"/>
      <c r="J1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7" s="67"/>
    </row>
    <row r="168" spans="3:11" x14ac:dyDescent="0.3">
      <c r="C168" s="219" t="s">
        <v>2605</v>
      </c>
      <c r="D168" s="221">
        <v>9</v>
      </c>
      <c r="E168" s="259" t="s">
        <v>2596</v>
      </c>
      <c r="F168" s="219">
        <v>3150</v>
      </c>
      <c r="G168" s="225"/>
      <c r="H168" s="67"/>
      <c r="I168" s="229"/>
      <c r="J1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8" s="67"/>
    </row>
    <row r="169" spans="3:11" x14ac:dyDescent="0.3">
      <c r="C169" s="219" t="s">
        <v>2606</v>
      </c>
      <c r="D169" s="221">
        <v>10</v>
      </c>
      <c r="E169" s="259" t="s">
        <v>2596</v>
      </c>
      <c r="F169" s="219">
        <v>3150</v>
      </c>
      <c r="G169" s="225"/>
      <c r="H169" s="67"/>
      <c r="I169" s="229"/>
      <c r="J1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9" s="67"/>
    </row>
    <row r="170" spans="3:11" x14ac:dyDescent="0.3">
      <c r="C170" s="219" t="s">
        <v>2607</v>
      </c>
      <c r="D170" s="221">
        <v>11</v>
      </c>
      <c r="E170" s="259" t="s">
        <v>2596</v>
      </c>
      <c r="F170" s="219">
        <v>3150</v>
      </c>
      <c r="G170" s="225"/>
      <c r="H170" s="67"/>
      <c r="I170" s="229"/>
      <c r="J1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0" s="67"/>
    </row>
    <row r="171" spans="3:11" x14ac:dyDescent="0.3">
      <c r="C171" s="219" t="s">
        <v>2608</v>
      </c>
      <c r="D171" s="221">
        <v>12</v>
      </c>
      <c r="E171" s="259" t="s">
        <v>2596</v>
      </c>
      <c r="F171" s="219">
        <v>3150</v>
      </c>
      <c r="G171" s="225"/>
      <c r="H171" s="67"/>
      <c r="I171" s="229"/>
      <c r="J1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1" s="67"/>
    </row>
    <row r="172" spans="3:11" x14ac:dyDescent="0.3">
      <c r="C172" s="219" t="s">
        <v>2609</v>
      </c>
      <c r="D172" s="221">
        <v>13</v>
      </c>
      <c r="E172" s="259" t="s">
        <v>2596</v>
      </c>
      <c r="F172" s="219">
        <v>3150</v>
      </c>
      <c r="G172" s="225"/>
      <c r="H172" s="67"/>
      <c r="I172" s="229"/>
      <c r="J1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2" s="67"/>
    </row>
    <row r="173" spans="3:11" x14ac:dyDescent="0.3">
      <c r="C173" s="219" t="s">
        <v>2610</v>
      </c>
      <c r="D173" s="221">
        <v>14</v>
      </c>
      <c r="E173" s="259" t="s">
        <v>2596</v>
      </c>
      <c r="F173" s="219">
        <v>3150</v>
      </c>
      <c r="G173" s="225"/>
      <c r="H173" s="67"/>
      <c r="I173" s="229"/>
      <c r="J1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3" s="67"/>
    </row>
    <row r="174" spans="3:11" x14ac:dyDescent="0.3">
      <c r="C174" s="219" t="s">
        <v>2611</v>
      </c>
      <c r="D174" s="221">
        <v>15</v>
      </c>
      <c r="E174" s="259" t="s">
        <v>2596</v>
      </c>
      <c r="F174" s="219">
        <v>3150</v>
      </c>
      <c r="G174" s="225"/>
      <c r="H174" s="67"/>
      <c r="I174" s="229"/>
      <c r="J1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4" s="67"/>
    </row>
    <row r="175" spans="3:11" x14ac:dyDescent="0.3">
      <c r="C175" s="219" t="s">
        <v>2612</v>
      </c>
      <c r="D175" s="221">
        <v>16</v>
      </c>
      <c r="E175" s="259" t="s">
        <v>2596</v>
      </c>
      <c r="F175" s="219">
        <v>3150</v>
      </c>
      <c r="G175" s="225"/>
      <c r="H175" s="67"/>
      <c r="I175" s="229"/>
      <c r="J1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5" s="67"/>
    </row>
    <row r="176" spans="3:11" x14ac:dyDescent="0.3">
      <c r="C176" s="219" t="s">
        <v>2613</v>
      </c>
      <c r="D176" s="221">
        <v>17</v>
      </c>
      <c r="E176" s="259" t="s">
        <v>2596</v>
      </c>
      <c r="F176" s="219">
        <v>3150</v>
      </c>
      <c r="G176" s="225"/>
      <c r="H176" s="67"/>
      <c r="I176" s="229"/>
      <c r="J1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6" s="67"/>
    </row>
    <row r="177" spans="3:11" x14ac:dyDescent="0.3">
      <c r="C177" s="219" t="s">
        <v>2614</v>
      </c>
      <c r="D177" s="221">
        <v>18</v>
      </c>
      <c r="E177" s="259" t="s">
        <v>2596</v>
      </c>
      <c r="F177" s="219">
        <v>3150</v>
      </c>
      <c r="G177" s="225"/>
      <c r="H177" s="67"/>
      <c r="I177" s="229"/>
      <c r="J1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7" s="67"/>
    </row>
    <row r="178" spans="3:11" x14ac:dyDescent="0.3">
      <c r="C178" s="219" t="s">
        <v>2615</v>
      </c>
      <c r="D178" s="221">
        <v>19</v>
      </c>
      <c r="E178" s="259" t="s">
        <v>2596</v>
      </c>
      <c r="F178" s="219">
        <v>3150</v>
      </c>
      <c r="G178" s="225"/>
      <c r="H178" s="67"/>
      <c r="I178" s="229"/>
      <c r="J1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8" s="67"/>
    </row>
    <row r="179" spans="3:11" x14ac:dyDescent="0.3">
      <c r="C179" s="219" t="s">
        <v>2616</v>
      </c>
      <c r="D179" s="221">
        <v>20</v>
      </c>
      <c r="E179" s="259" t="s">
        <v>2596</v>
      </c>
      <c r="F179" s="219">
        <v>3150</v>
      </c>
      <c r="G179" s="225"/>
      <c r="H179" s="67"/>
      <c r="I179" s="229"/>
      <c r="J1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9" s="67"/>
    </row>
    <row r="180" spans="3:11" x14ac:dyDescent="0.3">
      <c r="C180" s="219" t="s">
        <v>2617</v>
      </c>
      <c r="D180" s="221">
        <v>21</v>
      </c>
      <c r="E180" s="259" t="s">
        <v>2596</v>
      </c>
      <c r="F180" s="219">
        <v>3150</v>
      </c>
      <c r="G180" s="225"/>
      <c r="H180" s="67" t="s">
        <v>235</v>
      </c>
      <c r="I180" s="229" t="s">
        <v>2595</v>
      </c>
      <c r="J1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 de descarga</v>
      </c>
      <c r="K180" s="67"/>
    </row>
    <row r="181" spans="3:11" x14ac:dyDescent="0.3">
      <c r="C181" s="219" t="s">
        <v>2618</v>
      </c>
      <c r="D181" s="221">
        <v>22</v>
      </c>
      <c r="E181" s="259" t="s">
        <v>2596</v>
      </c>
      <c r="F181" s="219">
        <v>3150</v>
      </c>
      <c r="G181" s="225"/>
      <c r="H181" s="67"/>
      <c r="I181" s="229"/>
      <c r="J1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1" s="67"/>
    </row>
    <row r="182" spans="3:11" x14ac:dyDescent="0.3">
      <c r="C182" s="219" t="s">
        <v>2619</v>
      </c>
      <c r="D182" s="221">
        <v>23</v>
      </c>
      <c r="E182" s="259" t="s">
        <v>2596</v>
      </c>
      <c r="F182" s="219">
        <v>3150</v>
      </c>
      <c r="G182" s="225"/>
      <c r="H182" s="67" t="s">
        <v>1097</v>
      </c>
      <c r="I182" s="229" t="s">
        <v>2729</v>
      </c>
      <c r="J1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DENSIDAD - Densidad de descarga we</v>
      </c>
      <c r="K182" s="67"/>
    </row>
    <row r="183" spans="3:11" x14ac:dyDescent="0.3">
      <c r="C183" s="219" t="s">
        <v>2620</v>
      </c>
      <c r="D183" s="221">
        <v>24</v>
      </c>
      <c r="E183" s="259" t="s">
        <v>2596</v>
      </c>
      <c r="F183" s="219">
        <v>3150</v>
      </c>
      <c r="G183" s="225"/>
      <c r="H183" s="67"/>
      <c r="I183" s="229"/>
      <c r="J1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3" s="67"/>
    </row>
    <row r="184" spans="3:11" x14ac:dyDescent="0.3">
      <c r="C184" s="219" t="s">
        <v>2621</v>
      </c>
      <c r="D184" s="221">
        <v>25</v>
      </c>
      <c r="E184" s="259" t="s">
        <v>2596</v>
      </c>
      <c r="F184" s="219">
        <v>3150</v>
      </c>
      <c r="G184" s="225"/>
      <c r="H184" s="67"/>
      <c r="I184" s="229"/>
      <c r="J1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4" s="67"/>
    </row>
    <row r="185" spans="3:11" x14ac:dyDescent="0.3">
      <c r="C185" s="219" t="s">
        <v>2622</v>
      </c>
      <c r="D185" s="221">
        <v>26</v>
      </c>
      <c r="E185" s="259" t="s">
        <v>2596</v>
      </c>
      <c r="F185" s="219">
        <v>3150</v>
      </c>
      <c r="G185" s="225"/>
      <c r="H185" s="67"/>
      <c r="I185" s="229"/>
      <c r="J1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5" s="67"/>
    </row>
    <row r="186" spans="3:11" x14ac:dyDescent="0.3">
      <c r="C186" s="219" t="s">
        <v>2623</v>
      </c>
      <c r="D186" s="221">
        <v>27</v>
      </c>
      <c r="E186" s="259" t="s">
        <v>2596</v>
      </c>
      <c r="F186" s="219">
        <v>3150</v>
      </c>
      <c r="G186" s="225"/>
      <c r="H186" s="67"/>
      <c r="I186" s="229"/>
      <c r="J1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6" s="67"/>
    </row>
    <row r="187" spans="3:11" x14ac:dyDescent="0.3">
      <c r="C187" s="219" t="s">
        <v>2624</v>
      </c>
      <c r="D187" s="221">
        <v>28</v>
      </c>
      <c r="E187" s="259" t="s">
        <v>2596</v>
      </c>
      <c r="F187" s="219">
        <v>3150</v>
      </c>
      <c r="G187" s="225"/>
      <c r="H187" s="67"/>
      <c r="I187" s="229"/>
      <c r="J1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7" s="67"/>
    </row>
    <row r="188" spans="3:11" x14ac:dyDescent="0.3">
      <c r="C188" s="219" t="s">
        <v>2625</v>
      </c>
      <c r="D188" s="221">
        <v>29</v>
      </c>
      <c r="E188" s="259" t="s">
        <v>2596</v>
      </c>
      <c r="F188" s="219">
        <v>3150</v>
      </c>
      <c r="G188" s="225"/>
      <c r="H188" s="67"/>
      <c r="I188" s="229"/>
      <c r="J1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8" s="67"/>
    </row>
    <row r="189" spans="3:11" x14ac:dyDescent="0.3">
      <c r="C189" s="219" t="s">
        <v>2626</v>
      </c>
      <c r="D189" s="221">
        <v>30</v>
      </c>
      <c r="E189" s="259" t="s">
        <v>2596</v>
      </c>
      <c r="F189" s="219">
        <v>3150</v>
      </c>
      <c r="G189" s="225"/>
      <c r="H189" s="67"/>
      <c r="I189" s="229"/>
      <c r="J1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9" s="67"/>
    </row>
    <row r="190" spans="3:11" x14ac:dyDescent="0.3">
      <c r="C190" s="219" t="s">
        <v>2627</v>
      </c>
      <c r="D190" s="221">
        <v>31</v>
      </c>
      <c r="E190" s="259" t="s">
        <v>2596</v>
      </c>
      <c r="F190" s="219">
        <v>3150</v>
      </c>
      <c r="G190" s="225"/>
      <c r="H190" s="67"/>
      <c r="I190" s="229"/>
      <c r="J1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0" s="67"/>
    </row>
    <row r="191" spans="3:11" x14ac:dyDescent="0.3">
      <c r="C191" s="219" t="s">
        <v>2628</v>
      </c>
      <c r="D191" s="221">
        <v>32</v>
      </c>
      <c r="E191" s="259" t="s">
        <v>2596</v>
      </c>
      <c r="F191" s="219">
        <v>3150</v>
      </c>
      <c r="G191" s="225"/>
      <c r="H191" s="67"/>
      <c r="I191" s="229"/>
      <c r="J1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1" s="67"/>
    </row>
    <row r="192" spans="3:11" x14ac:dyDescent="0.3">
      <c r="C192" s="219" t="s">
        <v>2629</v>
      </c>
      <c r="D192" s="221">
        <v>33</v>
      </c>
      <c r="E192" s="259" t="s">
        <v>2596</v>
      </c>
      <c r="F192" s="219">
        <v>3150</v>
      </c>
      <c r="G192" s="225"/>
      <c r="H192" s="67"/>
      <c r="I192" s="229"/>
      <c r="J1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2" s="67"/>
    </row>
    <row r="193" spans="3:11" x14ac:dyDescent="0.3">
      <c r="C193" s="219" t="s">
        <v>2630</v>
      </c>
      <c r="D193" s="221">
        <v>34</v>
      </c>
      <c r="E193" s="259" t="s">
        <v>2596</v>
      </c>
      <c r="F193" s="219">
        <v>3150</v>
      </c>
      <c r="G193" s="225"/>
      <c r="H193" s="67"/>
      <c r="I193" s="229"/>
      <c r="J1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3" s="67"/>
    </row>
    <row r="194" spans="3:11" x14ac:dyDescent="0.3">
      <c r="C194" s="219" t="s">
        <v>2631</v>
      </c>
      <c r="D194" s="221">
        <v>35</v>
      </c>
      <c r="E194" s="259" t="s">
        <v>2596</v>
      </c>
      <c r="F194" s="219">
        <v>3150</v>
      </c>
      <c r="G194" s="225"/>
      <c r="H194" s="67"/>
      <c r="I194" s="229"/>
      <c r="J1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4" s="67"/>
    </row>
    <row r="195" spans="3:11" x14ac:dyDescent="0.3">
      <c r="C195" s="219" t="s">
        <v>2632</v>
      </c>
      <c r="D195" s="221">
        <v>36</v>
      </c>
      <c r="E195" s="259" t="s">
        <v>2596</v>
      </c>
      <c r="F195" s="219">
        <v>3150</v>
      </c>
      <c r="G195" s="225"/>
      <c r="H195" s="67"/>
      <c r="I195" s="229"/>
      <c r="J1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5" s="67"/>
    </row>
    <row r="196" spans="3:11" x14ac:dyDescent="0.3">
      <c r="C196" s="219" t="s">
        <v>2633</v>
      </c>
      <c r="D196" s="221">
        <v>37</v>
      </c>
      <c r="E196" s="259" t="s">
        <v>2596</v>
      </c>
      <c r="F196" s="219">
        <v>3150</v>
      </c>
      <c r="G196" s="225"/>
      <c r="H196" s="67"/>
      <c r="I196" s="229"/>
      <c r="J1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6" s="67"/>
    </row>
    <row r="197" spans="3:11" x14ac:dyDescent="0.3">
      <c r="C197" s="219" t="s">
        <v>2634</v>
      </c>
      <c r="D197" s="221">
        <v>38</v>
      </c>
      <c r="E197" s="259" t="s">
        <v>2596</v>
      </c>
      <c r="F197" s="219">
        <v>3150</v>
      </c>
      <c r="G197" s="225"/>
      <c r="H197" s="67"/>
      <c r="I197" s="229"/>
      <c r="J1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7" s="67"/>
    </row>
    <row r="198" spans="3:11" x14ac:dyDescent="0.3">
      <c r="C198" s="219" t="s">
        <v>2635</v>
      </c>
      <c r="D198" s="221">
        <v>39</v>
      </c>
      <c r="E198" s="259" t="s">
        <v>2596</v>
      </c>
      <c r="F198" s="219">
        <v>3150</v>
      </c>
      <c r="G198" s="225"/>
      <c r="H198" s="67"/>
      <c r="I198" s="229"/>
      <c r="J1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8" s="67"/>
    </row>
    <row r="199" spans="3:11" x14ac:dyDescent="0.3">
      <c r="C199" s="219" t="s">
        <v>2636</v>
      </c>
      <c r="D199" s="221">
        <v>40</v>
      </c>
      <c r="E199" s="259" t="s">
        <v>2596</v>
      </c>
      <c r="F199" s="219">
        <v>3150</v>
      </c>
      <c r="G199" s="225"/>
      <c r="H199" s="67"/>
      <c r="I199" s="229"/>
      <c r="J1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9" s="67"/>
    </row>
    <row r="200" spans="3:11" x14ac:dyDescent="0.3">
      <c r="C200" s="219" t="s">
        <v>2637</v>
      </c>
      <c r="D200" s="221">
        <v>41</v>
      </c>
      <c r="E200" s="259" t="s">
        <v>2596</v>
      </c>
      <c r="F200" s="219">
        <v>3150</v>
      </c>
      <c r="G200" s="225"/>
      <c r="H200" s="67"/>
      <c r="I200" s="229"/>
      <c r="J2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0" s="67"/>
    </row>
    <row r="201" spans="3:11" x14ac:dyDescent="0.3">
      <c r="C201" s="219" t="s">
        <v>2638</v>
      </c>
      <c r="D201" s="221">
        <v>42</v>
      </c>
      <c r="E201" s="259" t="s">
        <v>2596</v>
      </c>
      <c r="F201" s="219">
        <v>3150</v>
      </c>
      <c r="G201" s="225"/>
      <c r="H201" s="67"/>
      <c r="I201" s="229"/>
      <c r="J2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1" s="67"/>
    </row>
    <row r="202" spans="3:11" x14ac:dyDescent="0.3">
      <c r="C202" s="219" t="s">
        <v>2639</v>
      </c>
      <c r="D202" s="221">
        <v>43</v>
      </c>
      <c r="E202" s="259" t="s">
        <v>2596</v>
      </c>
      <c r="F202" s="219">
        <v>3150</v>
      </c>
      <c r="G202" s="225"/>
      <c r="H202" s="67"/>
      <c r="I202" s="229"/>
      <c r="J2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2" s="67"/>
    </row>
    <row r="203" spans="3:11" x14ac:dyDescent="0.3">
      <c r="C203" s="219" t="s">
        <v>2640</v>
      </c>
      <c r="D203" s="221">
        <v>44</v>
      </c>
      <c r="E203" s="259" t="s">
        <v>2596</v>
      </c>
      <c r="F203" s="219">
        <v>3150</v>
      </c>
      <c r="G203" s="225"/>
      <c r="H203" s="67"/>
      <c r="I203" s="229"/>
      <c r="J2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3" s="67"/>
    </row>
    <row r="204" spans="3:11" x14ac:dyDescent="0.3">
      <c r="C204" s="219" t="s">
        <v>2641</v>
      </c>
      <c r="D204" s="221">
        <v>45</v>
      </c>
      <c r="E204" s="259" t="s">
        <v>2596</v>
      </c>
      <c r="F204" s="219">
        <v>3150</v>
      </c>
      <c r="G204" s="225"/>
      <c r="H204" s="67"/>
      <c r="I204" s="229"/>
      <c r="J2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4" s="67"/>
    </row>
    <row r="205" spans="3:11" x14ac:dyDescent="0.3">
      <c r="C205" s="219" t="s">
        <v>2642</v>
      </c>
      <c r="D205" s="221">
        <v>46</v>
      </c>
      <c r="E205" s="259" t="s">
        <v>2596</v>
      </c>
      <c r="F205" s="219">
        <v>3150</v>
      </c>
      <c r="G205" s="225"/>
      <c r="H205" s="67"/>
      <c r="I205" s="229"/>
      <c r="J2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5" s="67"/>
    </row>
    <row r="206" spans="3:11" x14ac:dyDescent="0.3">
      <c r="C206" s="219" t="s">
        <v>2643</v>
      </c>
      <c r="D206" s="221">
        <v>47</v>
      </c>
      <c r="E206" s="259" t="s">
        <v>2596</v>
      </c>
      <c r="F206" s="219">
        <v>3150</v>
      </c>
      <c r="G206" s="225"/>
      <c r="H206" s="67"/>
      <c r="I206" s="229"/>
      <c r="J2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6" s="67"/>
    </row>
    <row r="207" spans="3:11" x14ac:dyDescent="0.3">
      <c r="C207" s="219" t="s">
        <v>2644</v>
      </c>
      <c r="D207" s="221">
        <v>48</v>
      </c>
      <c r="E207" s="259" t="s">
        <v>2596</v>
      </c>
      <c r="F207" s="219">
        <v>3150</v>
      </c>
      <c r="G207" s="225"/>
      <c r="H207" s="67"/>
      <c r="I207" s="229"/>
      <c r="J2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7" s="67"/>
    </row>
    <row r="208" spans="3:11" x14ac:dyDescent="0.3">
      <c r="C208" s="219" t="s">
        <v>1159</v>
      </c>
      <c r="D208" s="221">
        <v>1</v>
      </c>
      <c r="E208" s="255" t="s">
        <v>1885</v>
      </c>
      <c r="F208" s="219">
        <v>3500</v>
      </c>
      <c r="G208" s="225"/>
      <c r="H208" s="67"/>
      <c r="I208" s="229"/>
      <c r="J2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8" s="67"/>
    </row>
    <row r="209" spans="3:11" x14ac:dyDescent="0.3">
      <c r="C209" s="219" t="s">
        <v>1160</v>
      </c>
      <c r="D209" s="221">
        <v>2</v>
      </c>
      <c r="E209" s="255" t="s">
        <v>1885</v>
      </c>
      <c r="F209" s="219">
        <v>3500</v>
      </c>
      <c r="G209" s="225"/>
      <c r="H209" s="67"/>
      <c r="I209" s="229"/>
      <c r="J2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9" s="67"/>
    </row>
    <row r="210" spans="3:11" x14ac:dyDescent="0.3">
      <c r="C210" s="219" t="s">
        <v>1161</v>
      </c>
      <c r="D210" s="221">
        <v>3</v>
      </c>
      <c r="E210" s="255" t="s">
        <v>1885</v>
      </c>
      <c r="F210" s="219">
        <v>3500</v>
      </c>
      <c r="G210" s="225"/>
      <c r="H210" s="67"/>
      <c r="I210" s="229"/>
      <c r="J2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0" s="67"/>
    </row>
    <row r="211" spans="3:11" x14ac:dyDescent="0.3">
      <c r="C211" s="219" t="s">
        <v>1162</v>
      </c>
      <c r="D211" s="221">
        <v>4</v>
      </c>
      <c r="E211" s="255" t="s">
        <v>1885</v>
      </c>
      <c r="F211" s="219">
        <v>3500</v>
      </c>
      <c r="G211" s="225"/>
      <c r="H211" s="67"/>
      <c r="I211" s="229"/>
      <c r="J2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1" s="67"/>
    </row>
    <row r="212" spans="3:11" x14ac:dyDescent="0.3">
      <c r="C212" s="219" t="s">
        <v>1163</v>
      </c>
      <c r="D212" s="221">
        <v>5</v>
      </c>
      <c r="E212" s="255" t="s">
        <v>1885</v>
      </c>
      <c r="F212" s="219">
        <v>3500</v>
      </c>
      <c r="G212" s="225"/>
      <c r="H212" s="67"/>
      <c r="I212" s="229"/>
      <c r="J2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2" s="67"/>
    </row>
    <row r="213" spans="3:11" x14ac:dyDescent="0.3">
      <c r="C213" s="219" t="s">
        <v>1164</v>
      </c>
      <c r="D213" s="221">
        <v>6</v>
      </c>
      <c r="E213" s="255" t="s">
        <v>1885</v>
      </c>
      <c r="F213" s="219">
        <v>3500</v>
      </c>
      <c r="G213" s="225"/>
      <c r="H213" s="67"/>
      <c r="I213" s="229"/>
      <c r="J2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3" s="67"/>
    </row>
    <row r="214" spans="3:11" x14ac:dyDescent="0.3">
      <c r="C214" s="219" t="s">
        <v>1165</v>
      </c>
      <c r="D214" s="221">
        <v>7</v>
      </c>
      <c r="E214" s="255" t="s">
        <v>1885</v>
      </c>
      <c r="F214" s="219">
        <v>3500</v>
      </c>
      <c r="G214" s="225"/>
      <c r="H214" s="67"/>
      <c r="I214" s="229"/>
      <c r="J2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4" s="67"/>
    </row>
    <row r="215" spans="3:11" x14ac:dyDescent="0.3">
      <c r="C215" s="219" t="s">
        <v>1166</v>
      </c>
      <c r="D215" s="221">
        <v>8</v>
      </c>
      <c r="E215" s="255" t="s">
        <v>1885</v>
      </c>
      <c r="F215" s="219">
        <v>3500</v>
      </c>
      <c r="G215" s="225"/>
      <c r="H215" s="67"/>
      <c r="I215" s="229"/>
      <c r="J2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5" s="67"/>
    </row>
    <row r="216" spans="3:11" x14ac:dyDescent="0.3">
      <c r="C216" s="219" t="s">
        <v>1167</v>
      </c>
      <c r="D216" s="221">
        <v>9</v>
      </c>
      <c r="E216" s="255" t="s">
        <v>1885</v>
      </c>
      <c r="F216" s="219">
        <v>3500</v>
      </c>
      <c r="G216" s="225"/>
      <c r="H216" s="67"/>
      <c r="I216" s="229"/>
      <c r="J2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6" s="67"/>
    </row>
    <row r="217" spans="3:11" x14ac:dyDescent="0.3">
      <c r="C217" s="219" t="s">
        <v>1168</v>
      </c>
      <c r="D217" s="221">
        <v>10</v>
      </c>
      <c r="E217" s="255" t="s">
        <v>239</v>
      </c>
      <c r="F217" s="219">
        <v>3500</v>
      </c>
      <c r="G217" s="225"/>
      <c r="H217" s="67"/>
      <c r="I217" s="229"/>
      <c r="J2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7" s="67"/>
    </row>
    <row r="218" spans="3:11" x14ac:dyDescent="0.3">
      <c r="C218" s="219" t="s">
        <v>1169</v>
      </c>
      <c r="D218" s="221">
        <v>11</v>
      </c>
      <c r="E218" s="255" t="s">
        <v>239</v>
      </c>
      <c r="F218" s="219">
        <v>3500</v>
      </c>
      <c r="G218" s="225"/>
      <c r="H218" s="67"/>
      <c r="I218" s="229"/>
      <c r="J2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8" s="67"/>
    </row>
    <row r="219" spans="3:11" x14ac:dyDescent="0.3">
      <c r="C219" s="219" t="s">
        <v>1170</v>
      </c>
      <c r="D219" s="221">
        <v>12</v>
      </c>
      <c r="E219" s="255" t="s">
        <v>239</v>
      </c>
      <c r="F219" s="219">
        <v>3500</v>
      </c>
      <c r="G219" s="225"/>
      <c r="H219" s="67"/>
      <c r="I219" s="229"/>
      <c r="J2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7"/>
    </row>
    <row r="220" spans="3:11" x14ac:dyDescent="0.3">
      <c r="C220" s="219" t="s">
        <v>1171</v>
      </c>
      <c r="D220" s="221">
        <v>13</v>
      </c>
      <c r="E220" s="255" t="s">
        <v>239</v>
      </c>
      <c r="F220" s="219">
        <v>3500</v>
      </c>
      <c r="G220" s="225"/>
      <c r="H220" s="67"/>
      <c r="I220" s="229"/>
      <c r="J2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7"/>
    </row>
    <row r="221" spans="3:11" x14ac:dyDescent="0.3">
      <c r="C221" s="219" t="s">
        <v>1172</v>
      </c>
      <c r="D221" s="221">
        <v>14</v>
      </c>
      <c r="E221" s="255" t="s">
        <v>239</v>
      </c>
      <c r="F221" s="219">
        <v>3500</v>
      </c>
      <c r="G221" s="225"/>
      <c r="H221" s="67"/>
      <c r="I221" s="229"/>
      <c r="J2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7"/>
    </row>
    <row r="222" spans="3:11" x14ac:dyDescent="0.3">
      <c r="C222" s="219" t="s">
        <v>1173</v>
      </c>
      <c r="D222" s="221">
        <v>15</v>
      </c>
      <c r="E222" s="255" t="s">
        <v>239</v>
      </c>
      <c r="F222" s="219">
        <v>3500</v>
      </c>
      <c r="G222" s="225"/>
      <c r="H222" s="67"/>
      <c r="I222" s="229"/>
      <c r="J2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7"/>
    </row>
    <row r="223" spans="3:11" x14ac:dyDescent="0.3">
      <c r="C223" s="219" t="s">
        <v>1174</v>
      </c>
      <c r="D223" s="221">
        <v>16</v>
      </c>
      <c r="E223" s="255" t="s">
        <v>239</v>
      </c>
      <c r="F223" s="219">
        <v>3500</v>
      </c>
      <c r="G223" s="225"/>
      <c r="H223" s="67"/>
      <c r="I223" s="229"/>
      <c r="J2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7"/>
    </row>
    <row r="224" spans="3:11" x14ac:dyDescent="0.3">
      <c r="C224" s="219" t="s">
        <v>1175</v>
      </c>
      <c r="D224" s="221">
        <v>17</v>
      </c>
      <c r="E224" s="255" t="s">
        <v>239</v>
      </c>
      <c r="F224" s="219">
        <v>3500</v>
      </c>
      <c r="G224" s="225"/>
      <c r="H224" s="67"/>
      <c r="I224" s="229"/>
      <c r="J2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7"/>
    </row>
    <row r="225" spans="3:11" x14ac:dyDescent="0.3">
      <c r="C225" s="219" t="s">
        <v>1176</v>
      </c>
      <c r="D225" s="221">
        <v>18</v>
      </c>
      <c r="E225" s="255" t="s">
        <v>239</v>
      </c>
      <c r="F225" s="219">
        <v>3500</v>
      </c>
      <c r="G225" s="225"/>
      <c r="H225" s="67"/>
      <c r="I225" s="229"/>
      <c r="J2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7"/>
    </row>
    <row r="226" spans="3:11" x14ac:dyDescent="0.3">
      <c r="C226" s="219" t="s">
        <v>1177</v>
      </c>
      <c r="D226" s="221">
        <v>19</v>
      </c>
      <c r="E226" s="255" t="s">
        <v>239</v>
      </c>
      <c r="F226" s="219">
        <v>3500</v>
      </c>
      <c r="G226" s="225"/>
      <c r="H226" s="67"/>
      <c r="I226" s="229"/>
      <c r="J2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7"/>
    </row>
    <row r="227" spans="3:11" x14ac:dyDescent="0.3">
      <c r="C227" s="219" t="s">
        <v>1178</v>
      </c>
      <c r="D227" s="221">
        <v>20</v>
      </c>
      <c r="E227" s="255" t="s">
        <v>239</v>
      </c>
      <c r="F227" s="219">
        <v>3500</v>
      </c>
      <c r="G227" s="225"/>
      <c r="H227" s="67"/>
      <c r="I227" s="229"/>
      <c r="J2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7"/>
    </row>
    <row r="228" spans="3:11" x14ac:dyDescent="0.3">
      <c r="C228" s="219" t="s">
        <v>1179</v>
      </c>
      <c r="D228" s="221">
        <v>21</v>
      </c>
      <c r="E228" s="255" t="s">
        <v>239</v>
      </c>
      <c r="F228" s="219">
        <v>3500</v>
      </c>
      <c r="G228" s="225"/>
      <c r="H228" s="67"/>
      <c r="I228" s="229"/>
      <c r="J2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7"/>
    </row>
    <row r="229" spans="3:11" x14ac:dyDescent="0.3">
      <c r="C229" s="219" t="s">
        <v>1180</v>
      </c>
      <c r="D229" s="221">
        <v>22</v>
      </c>
      <c r="E229" s="255" t="s">
        <v>239</v>
      </c>
      <c r="F229" s="219">
        <v>3500</v>
      </c>
      <c r="G229" s="225"/>
      <c r="H229" s="67"/>
      <c r="I229" s="229"/>
      <c r="J2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7"/>
    </row>
    <row r="230" spans="3:11" x14ac:dyDescent="0.3">
      <c r="C230" s="219" t="s">
        <v>1181</v>
      </c>
      <c r="D230" s="221">
        <v>23</v>
      </c>
      <c r="E230" s="255" t="s">
        <v>239</v>
      </c>
      <c r="F230" s="219">
        <v>3500</v>
      </c>
      <c r="G230" s="225"/>
      <c r="H230" s="67"/>
      <c r="I230" s="229"/>
      <c r="J2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7"/>
    </row>
    <row r="231" spans="3:11" x14ac:dyDescent="0.3">
      <c r="C231" s="219" t="s">
        <v>1182</v>
      </c>
      <c r="D231" s="221">
        <v>24</v>
      </c>
      <c r="E231" s="255" t="s">
        <v>239</v>
      </c>
      <c r="F231" s="219">
        <v>3500</v>
      </c>
      <c r="G231" s="225"/>
      <c r="H231" s="67"/>
      <c r="I231" s="229"/>
      <c r="J2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7"/>
    </row>
    <row r="232" spans="3:11" x14ac:dyDescent="0.3">
      <c r="C232" s="219" t="s">
        <v>1183</v>
      </c>
      <c r="D232" s="221">
        <v>25</v>
      </c>
      <c r="E232" s="255" t="s">
        <v>239</v>
      </c>
      <c r="F232" s="219">
        <v>3500</v>
      </c>
      <c r="G232" s="225"/>
      <c r="H232" s="67"/>
      <c r="I232" s="229"/>
      <c r="J2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7"/>
    </row>
    <row r="233" spans="3:11" x14ac:dyDescent="0.3">
      <c r="C233" s="219" t="s">
        <v>1184</v>
      </c>
      <c r="D233" s="221">
        <v>26</v>
      </c>
      <c r="E233" s="255" t="s">
        <v>239</v>
      </c>
      <c r="F233" s="219">
        <v>3500</v>
      </c>
      <c r="G233" s="225"/>
      <c r="H233" s="67"/>
      <c r="I233" s="229"/>
      <c r="J2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7"/>
    </row>
    <row r="234" spans="3:11" x14ac:dyDescent="0.3">
      <c r="C234" s="219" t="s">
        <v>1185</v>
      </c>
      <c r="D234" s="221">
        <v>27</v>
      </c>
      <c r="E234" s="255" t="s">
        <v>239</v>
      </c>
      <c r="F234" s="219">
        <v>3500</v>
      </c>
      <c r="G234" s="225"/>
      <c r="H234" s="67"/>
      <c r="I234" s="229"/>
      <c r="J2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7"/>
    </row>
    <row r="235" spans="3:11" x14ac:dyDescent="0.3">
      <c r="C235" s="219" t="s">
        <v>1186</v>
      </c>
      <c r="D235" s="221">
        <v>28</v>
      </c>
      <c r="E235" s="255" t="s">
        <v>239</v>
      </c>
      <c r="F235" s="219">
        <v>3500</v>
      </c>
      <c r="G235" s="225"/>
      <c r="H235" s="67"/>
      <c r="I235" s="229"/>
      <c r="J2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7"/>
    </row>
    <row r="236" spans="3:11" x14ac:dyDescent="0.3">
      <c r="C236" s="219" t="s">
        <v>1187</v>
      </c>
      <c r="D236" s="221">
        <v>29</v>
      </c>
      <c r="E236" s="255" t="s">
        <v>239</v>
      </c>
      <c r="F236" s="219">
        <v>3500</v>
      </c>
      <c r="G236" s="225"/>
      <c r="H236" s="67"/>
      <c r="I236" s="229"/>
      <c r="J2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7"/>
    </row>
    <row r="237" spans="3:11" x14ac:dyDescent="0.3">
      <c r="C237" s="219" t="s">
        <v>1188</v>
      </c>
      <c r="D237" s="221">
        <v>30</v>
      </c>
      <c r="E237" s="255" t="s">
        <v>239</v>
      </c>
      <c r="F237" s="219">
        <v>3500</v>
      </c>
      <c r="G237" s="225"/>
      <c r="H237" s="67"/>
      <c r="I237" s="229"/>
      <c r="J2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7"/>
    </row>
    <row r="238" spans="3:11" x14ac:dyDescent="0.3">
      <c r="C238" s="219" t="s">
        <v>1481</v>
      </c>
      <c r="D238" s="221">
        <v>31</v>
      </c>
      <c r="E238" s="255" t="s">
        <v>239</v>
      </c>
      <c r="F238" s="219">
        <v>3500</v>
      </c>
      <c r="G238" s="225"/>
      <c r="H238" s="67"/>
      <c r="I238" s="229" t="s">
        <v>1756</v>
      </c>
      <c r="J2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38" s="67"/>
    </row>
    <row r="239" spans="3:11" x14ac:dyDescent="0.3">
      <c r="C239" s="219" t="s">
        <v>1482</v>
      </c>
      <c r="D239" s="221">
        <v>32</v>
      </c>
      <c r="E239" s="255" t="s">
        <v>239</v>
      </c>
      <c r="F239" s="219">
        <v>3500</v>
      </c>
      <c r="G239" s="225"/>
      <c r="H239" s="67"/>
      <c r="I239" s="229" t="s">
        <v>1757</v>
      </c>
      <c r="J2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39" s="67"/>
    </row>
    <row r="240" spans="3:11" x14ac:dyDescent="0.3">
      <c r="C240" s="219" t="s">
        <v>1483</v>
      </c>
      <c r="D240" s="221">
        <v>33</v>
      </c>
      <c r="E240" s="255" t="s">
        <v>239</v>
      </c>
      <c r="F240" s="219">
        <v>3500</v>
      </c>
      <c r="G240" s="225"/>
      <c r="H240" s="67"/>
      <c r="I240" s="229"/>
      <c r="J2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0" s="67"/>
    </row>
    <row r="241" spans="3:11" x14ac:dyDescent="0.3">
      <c r="C241" s="219" t="s">
        <v>1484</v>
      </c>
      <c r="D241" s="221">
        <v>34</v>
      </c>
      <c r="E241" s="255" t="s">
        <v>239</v>
      </c>
      <c r="F241" s="219">
        <v>3500</v>
      </c>
      <c r="G241" s="225"/>
      <c r="H241" s="67"/>
      <c r="I241" s="229"/>
      <c r="J2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1" s="67"/>
    </row>
    <row r="242" spans="3:11" x14ac:dyDescent="0.3">
      <c r="C242" s="219" t="s">
        <v>1485</v>
      </c>
      <c r="D242" s="221">
        <v>35</v>
      </c>
      <c r="E242" s="255" t="s">
        <v>239</v>
      </c>
      <c r="F242" s="219">
        <v>3500</v>
      </c>
      <c r="G242" s="225"/>
      <c r="H242" s="67"/>
      <c r="I242" s="229"/>
      <c r="J2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7"/>
    </row>
    <row r="243" spans="3:11" x14ac:dyDescent="0.3">
      <c r="C243" s="219" t="s">
        <v>1486</v>
      </c>
      <c r="D243" s="221">
        <v>36</v>
      </c>
      <c r="E243" s="255" t="s">
        <v>239</v>
      </c>
      <c r="F243" s="219">
        <v>3500</v>
      </c>
      <c r="G243" s="225"/>
      <c r="H243" s="67"/>
      <c r="I243" s="229"/>
      <c r="J2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7"/>
    </row>
    <row r="244" spans="3:11" x14ac:dyDescent="0.3">
      <c r="C244" s="219" t="s">
        <v>1487</v>
      </c>
      <c r="D244" s="221">
        <v>37</v>
      </c>
      <c r="E244" s="255" t="s">
        <v>239</v>
      </c>
      <c r="F244" s="219">
        <v>3500</v>
      </c>
      <c r="G244" s="225"/>
      <c r="H244" s="67"/>
      <c r="I244" s="229"/>
      <c r="J2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7"/>
    </row>
    <row r="245" spans="3:11" x14ac:dyDescent="0.3">
      <c r="C245" s="219" t="s">
        <v>1488</v>
      </c>
      <c r="D245" s="221">
        <v>38</v>
      </c>
      <c r="E245" s="255" t="s">
        <v>239</v>
      </c>
      <c r="F245" s="219">
        <v>3500</v>
      </c>
      <c r="G245" s="225"/>
      <c r="H245" s="67"/>
      <c r="I245" s="229"/>
      <c r="J2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7"/>
    </row>
    <row r="246" spans="3:11" x14ac:dyDescent="0.3">
      <c r="C246" s="219" t="s">
        <v>1489</v>
      </c>
      <c r="D246" s="221">
        <v>39</v>
      </c>
      <c r="E246" s="255" t="s">
        <v>239</v>
      </c>
      <c r="F246" s="219">
        <v>3500</v>
      </c>
      <c r="G246" s="225"/>
      <c r="H246" s="67"/>
      <c r="I246" s="229"/>
      <c r="J2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6" s="67"/>
    </row>
    <row r="247" spans="3:11" x14ac:dyDescent="0.3">
      <c r="C247" s="219" t="s">
        <v>1490</v>
      </c>
      <c r="D247" s="221">
        <v>40</v>
      </c>
      <c r="E247" s="255" t="s">
        <v>239</v>
      </c>
      <c r="F247" s="219">
        <v>3500</v>
      </c>
      <c r="G247" s="225"/>
      <c r="H247" s="67"/>
      <c r="I247" s="229"/>
      <c r="J2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7" s="67"/>
    </row>
    <row r="248" spans="3:11" x14ac:dyDescent="0.3">
      <c r="C248" s="219" t="s">
        <v>1491</v>
      </c>
      <c r="D248" s="221">
        <v>41</v>
      </c>
      <c r="E248" s="255" t="s">
        <v>239</v>
      </c>
      <c r="F248" s="219">
        <v>3500</v>
      </c>
      <c r="G248" s="225"/>
      <c r="H248" s="67"/>
      <c r="I248" s="229"/>
      <c r="J2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7"/>
    </row>
    <row r="249" spans="3:11" x14ac:dyDescent="0.3">
      <c r="C249" s="219" t="s">
        <v>1492</v>
      </c>
      <c r="D249" s="221">
        <v>42</v>
      </c>
      <c r="E249" s="255" t="s">
        <v>239</v>
      </c>
      <c r="F249" s="219">
        <v>3500</v>
      </c>
      <c r="G249" s="225"/>
      <c r="H249" s="67"/>
      <c r="I249" s="229"/>
      <c r="J2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7"/>
    </row>
    <row r="250" spans="3:11" x14ac:dyDescent="0.3">
      <c r="C250" s="219" t="s">
        <v>1493</v>
      </c>
      <c r="D250" s="221">
        <v>43</v>
      </c>
      <c r="E250" s="255" t="s">
        <v>239</v>
      </c>
      <c r="F250" s="219">
        <v>3500</v>
      </c>
      <c r="G250" s="225"/>
      <c r="H250" s="67"/>
      <c r="I250" s="229"/>
      <c r="J2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7"/>
    </row>
    <row r="251" spans="3:11" x14ac:dyDescent="0.3">
      <c r="C251" s="219" t="s">
        <v>1494</v>
      </c>
      <c r="D251" s="221">
        <v>44</v>
      </c>
      <c r="E251" s="255" t="s">
        <v>239</v>
      </c>
      <c r="F251" s="219">
        <v>3500</v>
      </c>
      <c r="G251" s="225"/>
      <c r="H251" s="67"/>
      <c r="I251" s="229"/>
      <c r="J2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7"/>
    </row>
    <row r="252" spans="3:11" x14ac:dyDescent="0.3">
      <c r="C252" s="219" t="s">
        <v>1495</v>
      </c>
      <c r="D252" s="221">
        <v>45</v>
      </c>
      <c r="E252" s="255" t="s">
        <v>239</v>
      </c>
      <c r="F252" s="219">
        <v>3500</v>
      </c>
      <c r="G252" s="225"/>
      <c r="H252" s="67"/>
      <c r="I252" s="229"/>
      <c r="J2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7"/>
    </row>
    <row r="253" spans="3:11" x14ac:dyDescent="0.3">
      <c r="C253" s="219" t="s">
        <v>1496</v>
      </c>
      <c r="D253" s="221">
        <v>46</v>
      </c>
      <c r="E253" s="255" t="s">
        <v>239</v>
      </c>
      <c r="F253" s="219">
        <v>3500</v>
      </c>
      <c r="G253" s="225"/>
      <c r="H253" s="67"/>
      <c r="I253" s="229"/>
      <c r="J2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7"/>
    </row>
    <row r="254" spans="3:11" x14ac:dyDescent="0.3">
      <c r="C254" s="219" t="s">
        <v>1497</v>
      </c>
      <c r="D254" s="221">
        <v>47</v>
      </c>
      <c r="E254" s="255" t="s">
        <v>239</v>
      </c>
      <c r="F254" s="219">
        <v>3500</v>
      </c>
      <c r="G254" s="225"/>
      <c r="H254" s="67"/>
      <c r="I254" s="229"/>
      <c r="J2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7"/>
    </row>
    <row r="255" spans="3:11" x14ac:dyDescent="0.3">
      <c r="C255" s="219" t="s">
        <v>1498</v>
      </c>
      <c r="D255" s="221">
        <v>48</v>
      </c>
      <c r="E255" s="255" t="s">
        <v>239</v>
      </c>
      <c r="F255" s="219">
        <v>3500</v>
      </c>
      <c r="G255" s="225"/>
      <c r="H255" s="67"/>
      <c r="I255" s="229"/>
      <c r="J2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7"/>
    </row>
    <row r="256" spans="3:11" x14ac:dyDescent="0.3">
      <c r="C256" s="219" t="s">
        <v>1499</v>
      </c>
      <c r="D256" s="221">
        <v>49</v>
      </c>
      <c r="E256" s="255" t="s">
        <v>239</v>
      </c>
      <c r="F256" s="219">
        <v>3500</v>
      </c>
      <c r="G256" s="225"/>
      <c r="H256" s="67"/>
      <c r="I256" s="229"/>
      <c r="J2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7"/>
    </row>
    <row r="257" spans="3:11" x14ac:dyDescent="0.3">
      <c r="C257" s="219" t="s">
        <v>1500</v>
      </c>
      <c r="D257" s="221">
        <v>50</v>
      </c>
      <c r="E257" s="255" t="s">
        <v>239</v>
      </c>
      <c r="F257" s="219">
        <v>3500</v>
      </c>
      <c r="G257" s="225"/>
      <c r="H257" s="67"/>
      <c r="I257" s="229"/>
      <c r="J2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7"/>
    </row>
    <row r="258" spans="3:11" x14ac:dyDescent="0.3">
      <c r="C258" s="219" t="s">
        <v>1501</v>
      </c>
      <c r="D258" s="221">
        <v>51</v>
      </c>
      <c r="E258" s="255" t="s">
        <v>239</v>
      </c>
      <c r="F258" s="219">
        <v>3500</v>
      </c>
      <c r="G258" s="225"/>
      <c r="H258" s="67"/>
      <c r="I258" s="229"/>
      <c r="J2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7"/>
    </row>
    <row r="259" spans="3:11" x14ac:dyDescent="0.3">
      <c r="C259" s="219" t="s">
        <v>1502</v>
      </c>
      <c r="D259" s="221">
        <v>52</v>
      </c>
      <c r="E259" s="255" t="s">
        <v>239</v>
      </c>
      <c r="F259" s="219">
        <v>3500</v>
      </c>
      <c r="G259" s="225"/>
      <c r="H259" s="67"/>
      <c r="I259" s="229"/>
      <c r="J2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7"/>
    </row>
    <row r="260" spans="3:11" x14ac:dyDescent="0.3">
      <c r="C260" s="219" t="s">
        <v>1503</v>
      </c>
      <c r="D260" s="221">
        <v>53</v>
      </c>
      <c r="E260" s="255" t="s">
        <v>239</v>
      </c>
      <c r="F260" s="219">
        <v>3500</v>
      </c>
      <c r="G260" s="225"/>
      <c r="H260" s="67"/>
      <c r="I260" s="229"/>
      <c r="J2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7"/>
    </row>
    <row r="261" spans="3:11" x14ac:dyDescent="0.3">
      <c r="C261" s="219" t="s">
        <v>1504</v>
      </c>
      <c r="D261" s="221">
        <v>54</v>
      </c>
      <c r="E261" s="255" t="s">
        <v>239</v>
      </c>
      <c r="F261" s="219">
        <v>3500</v>
      </c>
      <c r="G261" s="225"/>
      <c r="H261" s="67"/>
      <c r="I261" s="229"/>
      <c r="J2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7"/>
    </row>
    <row r="262" spans="3:11" x14ac:dyDescent="0.3">
      <c r="C262" s="219" t="s">
        <v>1505</v>
      </c>
      <c r="D262" s="221">
        <v>55</v>
      </c>
      <c r="E262" s="255" t="s">
        <v>239</v>
      </c>
      <c r="F262" s="219">
        <v>3500</v>
      </c>
      <c r="G262" s="225"/>
      <c r="H262" s="67"/>
      <c r="I262" s="229"/>
      <c r="J2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7"/>
    </row>
    <row r="263" spans="3:11" x14ac:dyDescent="0.3">
      <c r="C263" s="219" t="s">
        <v>1506</v>
      </c>
      <c r="D263" s="221">
        <v>56</v>
      </c>
      <c r="E263" s="255" t="s">
        <v>239</v>
      </c>
      <c r="F263" s="219">
        <v>3500</v>
      </c>
      <c r="G263" s="225"/>
      <c r="H263" s="67"/>
      <c r="I263" s="229"/>
      <c r="J2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7"/>
    </row>
    <row r="264" spans="3:11" x14ac:dyDescent="0.3">
      <c r="C264" s="219" t="s">
        <v>1507</v>
      </c>
      <c r="D264" s="221">
        <v>57</v>
      </c>
      <c r="E264" s="255" t="s">
        <v>239</v>
      </c>
      <c r="F264" s="219">
        <v>3500</v>
      </c>
      <c r="G264" s="225"/>
      <c r="H264" s="67"/>
      <c r="I264" s="229"/>
      <c r="J2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7"/>
    </row>
    <row r="265" spans="3:11" x14ac:dyDescent="0.3">
      <c r="C265" s="219" t="s">
        <v>1508</v>
      </c>
      <c r="D265" s="221">
        <v>58</v>
      </c>
      <c r="E265" s="255" t="s">
        <v>239</v>
      </c>
      <c r="F265" s="219">
        <v>3500</v>
      </c>
      <c r="G265" s="225"/>
      <c r="H265" s="67"/>
      <c r="I265" s="229"/>
      <c r="J2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7"/>
    </row>
    <row r="266" spans="3:11" x14ac:dyDescent="0.3">
      <c r="C266" s="219" t="s">
        <v>1509</v>
      </c>
      <c r="D266" s="221">
        <v>59</v>
      </c>
      <c r="E266" s="255" t="s">
        <v>239</v>
      </c>
      <c r="F266" s="219">
        <v>3500</v>
      </c>
      <c r="G266" s="225"/>
      <c r="H266" s="67"/>
      <c r="I266" s="229"/>
      <c r="J2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7"/>
    </row>
    <row r="267" spans="3:11" x14ac:dyDescent="0.3">
      <c r="C267" s="219" t="s">
        <v>1510</v>
      </c>
      <c r="D267" s="221">
        <v>60</v>
      </c>
      <c r="E267" s="255" t="s">
        <v>239</v>
      </c>
      <c r="F267" s="219">
        <v>3500</v>
      </c>
      <c r="G267" s="225"/>
      <c r="H267" s="67"/>
      <c r="I267" s="229"/>
      <c r="J2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7"/>
    </row>
    <row r="268" spans="3:11" x14ac:dyDescent="0.3">
      <c r="C268" s="219" t="s">
        <v>1511</v>
      </c>
      <c r="D268" s="221">
        <v>61</v>
      </c>
      <c r="E268" s="255" t="s">
        <v>239</v>
      </c>
      <c r="F268" s="219">
        <v>3500</v>
      </c>
      <c r="G268" s="225"/>
      <c r="H268" s="67"/>
      <c r="I268" s="229"/>
      <c r="J2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7"/>
    </row>
    <row r="269" spans="3:11" x14ac:dyDescent="0.3">
      <c r="C269" s="219" t="s">
        <v>1512</v>
      </c>
      <c r="D269" s="221">
        <v>62</v>
      </c>
      <c r="E269" s="255" t="s">
        <v>239</v>
      </c>
      <c r="F269" s="219">
        <v>3500</v>
      </c>
      <c r="G269" s="225"/>
      <c r="H269" s="67"/>
      <c r="I269" s="229"/>
      <c r="J2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7"/>
    </row>
    <row r="270" spans="3:11" x14ac:dyDescent="0.3">
      <c r="C270" s="219" t="s">
        <v>1513</v>
      </c>
      <c r="D270" s="221">
        <v>63</v>
      </c>
      <c r="E270" s="255" t="s">
        <v>239</v>
      </c>
      <c r="F270" s="219">
        <v>3500</v>
      </c>
      <c r="G270" s="225"/>
      <c r="H270" s="67"/>
      <c r="I270" s="229"/>
      <c r="J2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7"/>
    </row>
    <row r="271" spans="3:11" x14ac:dyDescent="0.3">
      <c r="C271" s="219" t="s">
        <v>1514</v>
      </c>
      <c r="D271" s="221">
        <v>64</v>
      </c>
      <c r="E271" s="255" t="s">
        <v>239</v>
      </c>
      <c r="F271" s="219">
        <v>3500</v>
      </c>
      <c r="G271" s="225"/>
      <c r="H271" s="67"/>
      <c r="I271" s="229"/>
      <c r="J2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7"/>
    </row>
    <row r="272" spans="3:11" x14ac:dyDescent="0.3">
      <c r="C272" s="219" t="s">
        <v>1515</v>
      </c>
      <c r="D272" s="221">
        <v>65</v>
      </c>
      <c r="E272" s="255" t="s">
        <v>239</v>
      </c>
      <c r="F272" s="219">
        <v>3500</v>
      </c>
      <c r="G272" s="225"/>
      <c r="H272" s="67"/>
      <c r="I272" s="229"/>
      <c r="J2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7"/>
    </row>
    <row r="273" spans="3:11" x14ac:dyDescent="0.3">
      <c r="C273" s="219" t="s">
        <v>1516</v>
      </c>
      <c r="D273" s="221">
        <v>66</v>
      </c>
      <c r="E273" s="255" t="s">
        <v>239</v>
      </c>
      <c r="F273" s="219">
        <v>3500</v>
      </c>
      <c r="G273" s="225"/>
      <c r="H273" s="67"/>
      <c r="I273" s="229"/>
      <c r="J2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7"/>
    </row>
    <row r="274" spans="3:11" x14ac:dyDescent="0.3">
      <c r="C274" s="219" t="s">
        <v>1517</v>
      </c>
      <c r="D274" s="221">
        <v>67</v>
      </c>
      <c r="E274" s="255" t="s">
        <v>239</v>
      </c>
      <c r="F274" s="219">
        <v>3500</v>
      </c>
      <c r="G274" s="225"/>
      <c r="H274" s="67"/>
      <c r="I274" s="229"/>
      <c r="J2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7"/>
    </row>
    <row r="275" spans="3:11" x14ac:dyDescent="0.3">
      <c r="C275" s="219" t="s">
        <v>1518</v>
      </c>
      <c r="D275" s="221">
        <v>68</v>
      </c>
      <c r="E275" s="255" t="s">
        <v>239</v>
      </c>
      <c r="F275" s="219">
        <v>3500</v>
      </c>
      <c r="G275" s="225"/>
      <c r="H275" s="67"/>
      <c r="I275" s="229"/>
      <c r="J2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7"/>
    </row>
    <row r="276" spans="3:11" x14ac:dyDescent="0.3">
      <c r="C276" s="219" t="s">
        <v>1519</v>
      </c>
      <c r="D276" s="221">
        <v>69</v>
      </c>
      <c r="E276" s="255" t="s">
        <v>239</v>
      </c>
      <c r="F276" s="219">
        <v>3500</v>
      </c>
      <c r="G276" s="225"/>
      <c r="H276" s="67"/>
      <c r="I276" s="229"/>
      <c r="J2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7"/>
    </row>
    <row r="277" spans="3:11" x14ac:dyDescent="0.3">
      <c r="C277" s="219" t="s">
        <v>1520</v>
      </c>
      <c r="D277" s="221">
        <v>70</v>
      </c>
      <c r="E277" s="255" t="s">
        <v>239</v>
      </c>
      <c r="F277" s="219">
        <v>3500</v>
      </c>
      <c r="G277" s="225"/>
      <c r="H277" s="67"/>
      <c r="I277" s="229"/>
      <c r="J2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7"/>
    </row>
    <row r="278" spans="3:11" x14ac:dyDescent="0.3">
      <c r="C278" s="219" t="s">
        <v>1521</v>
      </c>
      <c r="D278" s="221">
        <v>71</v>
      </c>
      <c r="E278" s="255" t="s">
        <v>239</v>
      </c>
      <c r="F278" s="219">
        <v>3500</v>
      </c>
      <c r="G278" s="225"/>
      <c r="H278" s="67"/>
      <c r="I278" s="229"/>
      <c r="J2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8" s="67"/>
    </row>
    <row r="279" spans="3:11" x14ac:dyDescent="0.3">
      <c r="C279" s="219" t="s">
        <v>1522</v>
      </c>
      <c r="D279" s="221">
        <v>72</v>
      </c>
      <c r="E279" s="255" t="s">
        <v>239</v>
      </c>
      <c r="F279" s="219">
        <v>3500</v>
      </c>
      <c r="G279" s="225"/>
      <c r="H279" s="67"/>
      <c r="I279" s="229"/>
      <c r="J2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9" s="67"/>
    </row>
    <row r="280" spans="3:11" x14ac:dyDescent="0.3">
      <c r="C280" s="219" t="s">
        <v>1523</v>
      </c>
      <c r="D280" s="221">
        <v>73</v>
      </c>
      <c r="E280" s="255" t="s">
        <v>239</v>
      </c>
      <c r="F280" s="219">
        <v>3500</v>
      </c>
      <c r="G280" s="225"/>
      <c r="H280" s="67"/>
      <c r="I280" s="229"/>
      <c r="J2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0" s="67"/>
    </row>
    <row r="281" spans="3:11" x14ac:dyDescent="0.3">
      <c r="C281" s="219" t="s">
        <v>1524</v>
      </c>
      <c r="D281" s="221">
        <v>74</v>
      </c>
      <c r="E281" s="255" t="s">
        <v>239</v>
      </c>
      <c r="F281" s="219">
        <v>3500</v>
      </c>
      <c r="G281" s="225"/>
      <c r="H281" s="67"/>
      <c r="I281" s="229"/>
      <c r="J2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1" s="67"/>
    </row>
    <row r="282" spans="3:11" x14ac:dyDescent="0.3">
      <c r="C282" s="219" t="s">
        <v>1525</v>
      </c>
      <c r="D282" s="221">
        <v>75</v>
      </c>
      <c r="E282" s="255" t="s">
        <v>239</v>
      </c>
      <c r="F282" s="219">
        <v>3500</v>
      </c>
      <c r="G282" s="225"/>
      <c r="H282" s="67"/>
      <c r="I282" s="229"/>
      <c r="J2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2" s="67"/>
    </row>
    <row r="283" spans="3:11" x14ac:dyDescent="0.3">
      <c r="C283" s="219" t="s">
        <v>1526</v>
      </c>
      <c r="D283" s="221">
        <v>76</v>
      </c>
      <c r="E283" s="255" t="s">
        <v>239</v>
      </c>
      <c r="F283" s="219">
        <v>3500</v>
      </c>
      <c r="G283" s="225"/>
      <c r="H283" s="67"/>
      <c r="I283" s="229"/>
      <c r="J2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3" s="67"/>
    </row>
    <row r="284" spans="3:11" x14ac:dyDescent="0.3">
      <c r="C284" s="219" t="s">
        <v>1527</v>
      </c>
      <c r="D284" s="221">
        <v>77</v>
      </c>
      <c r="E284" s="255" t="s">
        <v>239</v>
      </c>
      <c r="F284" s="219">
        <v>3500</v>
      </c>
      <c r="G284" s="225"/>
      <c r="H284" s="67"/>
      <c r="I284" s="229"/>
      <c r="J2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4" s="67"/>
    </row>
    <row r="285" spans="3:11" x14ac:dyDescent="0.3">
      <c r="C285" s="219" t="s">
        <v>1528</v>
      </c>
      <c r="D285" s="221">
        <v>78</v>
      </c>
      <c r="E285" s="255" t="s">
        <v>239</v>
      </c>
      <c r="F285" s="219">
        <v>3500</v>
      </c>
      <c r="G285" s="225"/>
      <c r="H285" s="67"/>
      <c r="I285" s="229"/>
      <c r="J2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5" s="67"/>
    </row>
    <row r="286" spans="3:11" x14ac:dyDescent="0.3">
      <c r="C286" s="219" t="s">
        <v>1529</v>
      </c>
      <c r="D286" s="221">
        <v>79</v>
      </c>
      <c r="E286" s="255" t="s">
        <v>239</v>
      </c>
      <c r="F286" s="219">
        <v>3500</v>
      </c>
      <c r="G286" s="225"/>
      <c r="H286" s="67"/>
      <c r="I286" s="229"/>
      <c r="J2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6" s="67"/>
    </row>
    <row r="287" spans="3:11" x14ac:dyDescent="0.3">
      <c r="C287" s="219" t="s">
        <v>1530</v>
      </c>
      <c r="D287" s="221">
        <v>80</v>
      </c>
      <c r="E287" s="255" t="s">
        <v>239</v>
      </c>
      <c r="F287" s="219">
        <v>3500</v>
      </c>
      <c r="G287" s="225"/>
      <c r="H287" s="67"/>
      <c r="I287" s="229"/>
      <c r="J2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7" s="67"/>
    </row>
    <row r="288" spans="3:11" x14ac:dyDescent="0.3">
      <c r="C288" s="219" t="s">
        <v>1531</v>
      </c>
      <c r="D288" s="221">
        <v>81</v>
      </c>
      <c r="E288" s="255" t="s">
        <v>239</v>
      </c>
      <c r="F288" s="219">
        <v>3500</v>
      </c>
      <c r="G288" s="225"/>
      <c r="H288" s="67"/>
      <c r="I288" s="229"/>
      <c r="J2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8" s="67"/>
    </row>
    <row r="289" spans="3:11" x14ac:dyDescent="0.3">
      <c r="C289" s="219" t="s">
        <v>1532</v>
      </c>
      <c r="D289" s="221">
        <v>82</v>
      </c>
      <c r="E289" s="255" t="s">
        <v>239</v>
      </c>
      <c r="F289" s="219">
        <v>3500</v>
      </c>
      <c r="G289" s="225"/>
      <c r="H289" s="67"/>
      <c r="I289" s="229"/>
      <c r="J2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9" s="67"/>
    </row>
    <row r="290" spans="3:11" x14ac:dyDescent="0.3">
      <c r="C290" s="219" t="s">
        <v>1533</v>
      </c>
      <c r="D290" s="221">
        <v>83</v>
      </c>
      <c r="E290" s="255" t="s">
        <v>239</v>
      </c>
      <c r="F290" s="219">
        <v>3500</v>
      </c>
      <c r="G290" s="225"/>
      <c r="H290" s="67"/>
      <c r="I290" s="229"/>
      <c r="J2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0" s="67"/>
    </row>
    <row r="291" spans="3:11" x14ac:dyDescent="0.3">
      <c r="C291" s="219" t="s">
        <v>1534</v>
      </c>
      <c r="D291" s="221">
        <v>84</v>
      </c>
      <c r="E291" s="255" t="s">
        <v>239</v>
      </c>
      <c r="F291" s="219">
        <v>3500</v>
      </c>
      <c r="G291" s="225"/>
      <c r="H291" s="67"/>
      <c r="I291" s="229"/>
      <c r="J2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1" s="67"/>
    </row>
    <row r="292" spans="3:11" x14ac:dyDescent="0.3">
      <c r="C292" s="219" t="s">
        <v>1535</v>
      </c>
      <c r="D292" s="221">
        <v>85</v>
      </c>
      <c r="E292" s="255" t="s">
        <v>239</v>
      </c>
      <c r="F292" s="219">
        <v>3500</v>
      </c>
      <c r="G292" s="225"/>
      <c r="H292" s="67"/>
      <c r="I292" s="229"/>
      <c r="J2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2" s="67"/>
    </row>
    <row r="293" spans="3:11" x14ac:dyDescent="0.3">
      <c r="C293" s="219" t="s">
        <v>1536</v>
      </c>
      <c r="D293" s="221">
        <v>86</v>
      </c>
      <c r="E293" s="255" t="s">
        <v>239</v>
      </c>
      <c r="F293" s="219">
        <v>3500</v>
      </c>
      <c r="G293" s="225"/>
      <c r="H293" s="67"/>
      <c r="I293" s="229"/>
      <c r="J2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3" s="67"/>
    </row>
    <row r="294" spans="3:11" x14ac:dyDescent="0.3">
      <c r="C294" s="219" t="s">
        <v>1537</v>
      </c>
      <c r="D294" s="221">
        <v>87</v>
      </c>
      <c r="E294" s="255" t="s">
        <v>239</v>
      </c>
      <c r="F294" s="219">
        <v>3500</v>
      </c>
      <c r="G294" s="225"/>
      <c r="H294" s="67"/>
      <c r="I294" s="229"/>
      <c r="J2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4" s="67"/>
    </row>
    <row r="295" spans="3:11" x14ac:dyDescent="0.3">
      <c r="C295" s="219" t="s">
        <v>1538</v>
      </c>
      <c r="D295" s="221">
        <v>88</v>
      </c>
      <c r="E295" s="255" t="s">
        <v>239</v>
      </c>
      <c r="F295" s="219">
        <v>3500</v>
      </c>
      <c r="G295" s="225"/>
      <c r="H295" s="67"/>
      <c r="I295" s="229"/>
      <c r="J2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5" s="67"/>
    </row>
    <row r="296" spans="3:11" x14ac:dyDescent="0.3">
      <c r="C296" s="219" t="s">
        <v>1539</v>
      </c>
      <c r="D296" s="221">
        <v>89</v>
      </c>
      <c r="E296" s="255" t="s">
        <v>239</v>
      </c>
      <c r="F296" s="219">
        <v>3500</v>
      </c>
      <c r="G296" s="225"/>
      <c r="H296" s="67"/>
      <c r="I296" s="229"/>
      <c r="J2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6" s="67"/>
    </row>
    <row r="297" spans="3:11" x14ac:dyDescent="0.3">
      <c r="C297" s="219" t="s">
        <v>1540</v>
      </c>
      <c r="D297" s="221">
        <v>90</v>
      </c>
      <c r="E297" s="255" t="s">
        <v>239</v>
      </c>
      <c r="F297" s="219">
        <v>3500</v>
      </c>
      <c r="G297" s="225"/>
      <c r="H297" s="67"/>
      <c r="I297" s="229"/>
      <c r="J2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7" s="67"/>
    </row>
    <row r="298" spans="3:11" x14ac:dyDescent="0.3">
      <c r="C298" s="219" t="s">
        <v>1541</v>
      </c>
      <c r="D298" s="221">
        <v>91</v>
      </c>
      <c r="E298" s="255" t="s">
        <v>239</v>
      </c>
      <c r="F298" s="219">
        <v>3500</v>
      </c>
      <c r="G298" s="225"/>
      <c r="H298" s="67"/>
      <c r="I298" s="229"/>
      <c r="J2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8" s="67"/>
    </row>
    <row r="299" spans="3:11" x14ac:dyDescent="0.3">
      <c r="C299" s="219" t="s">
        <v>1542</v>
      </c>
      <c r="D299" s="221">
        <v>92</v>
      </c>
      <c r="E299" s="255" t="s">
        <v>239</v>
      </c>
      <c r="F299" s="219">
        <v>3500</v>
      </c>
      <c r="G299" s="225"/>
      <c r="H299" s="67"/>
      <c r="I299" s="229"/>
      <c r="J2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9" s="67"/>
    </row>
    <row r="300" spans="3:11" x14ac:dyDescent="0.3">
      <c r="C300" s="219" t="s">
        <v>1543</v>
      </c>
      <c r="D300" s="221">
        <v>93</v>
      </c>
      <c r="E300" s="255" t="s">
        <v>239</v>
      </c>
      <c r="F300" s="219">
        <v>3500</v>
      </c>
      <c r="G300" s="225"/>
      <c r="H300" s="67"/>
      <c r="I300" s="229"/>
      <c r="J3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0" s="67"/>
    </row>
    <row r="301" spans="3:11" x14ac:dyDescent="0.3">
      <c r="C301" s="219" t="s">
        <v>1544</v>
      </c>
      <c r="D301" s="221">
        <v>94</v>
      </c>
      <c r="E301" s="255" t="s">
        <v>239</v>
      </c>
      <c r="F301" s="219">
        <v>3500</v>
      </c>
      <c r="G301" s="225"/>
      <c r="H301" s="67"/>
      <c r="I301" s="229"/>
      <c r="J3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1" s="67"/>
    </row>
    <row r="302" spans="3:11" x14ac:dyDescent="0.3">
      <c r="C302" s="219" t="s">
        <v>1545</v>
      </c>
      <c r="D302" s="221">
        <v>95</v>
      </c>
      <c r="E302" s="255" t="s">
        <v>239</v>
      </c>
      <c r="F302" s="219">
        <v>3500</v>
      </c>
      <c r="G302" s="225"/>
      <c r="H302" s="67"/>
      <c r="I302" s="229"/>
      <c r="J3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2" s="67"/>
    </row>
    <row r="303" spans="3:11" x14ac:dyDescent="0.3">
      <c r="C303" s="219" t="s">
        <v>1546</v>
      </c>
      <c r="D303" s="221">
        <v>96</v>
      </c>
      <c r="E303" s="255" t="s">
        <v>239</v>
      </c>
      <c r="F303" s="219">
        <v>3500</v>
      </c>
      <c r="G303" s="225"/>
      <c r="H303" s="67"/>
      <c r="I303" s="229"/>
      <c r="J3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3" s="67"/>
    </row>
    <row r="304" spans="3:11" x14ac:dyDescent="0.3">
      <c r="C304" s="219" t="s">
        <v>1547</v>
      </c>
      <c r="D304" s="221">
        <v>97</v>
      </c>
      <c r="E304" s="255" t="s">
        <v>239</v>
      </c>
      <c r="F304" s="219">
        <v>3500</v>
      </c>
      <c r="G304" s="225"/>
      <c r="H304" s="67"/>
      <c r="I304" s="229"/>
      <c r="J3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4" s="67"/>
    </row>
    <row r="305" spans="3:11" x14ac:dyDescent="0.3">
      <c r="C305" s="219" t="s">
        <v>1548</v>
      </c>
      <c r="D305" s="221">
        <v>98</v>
      </c>
      <c r="E305" s="255" t="s">
        <v>239</v>
      </c>
      <c r="F305" s="219">
        <v>3500</v>
      </c>
      <c r="G305" s="225"/>
      <c r="H305" s="67"/>
      <c r="I305" s="229"/>
      <c r="J3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5" s="67"/>
    </row>
    <row r="306" spans="3:11" x14ac:dyDescent="0.3">
      <c r="C306" s="219" t="s">
        <v>1549</v>
      </c>
      <c r="D306" s="221">
        <v>99</v>
      </c>
      <c r="E306" s="255" t="s">
        <v>239</v>
      </c>
      <c r="F306" s="219">
        <v>3500</v>
      </c>
      <c r="G306" s="225"/>
      <c r="H306" s="67"/>
      <c r="I306" s="229"/>
      <c r="J3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6" s="67"/>
    </row>
    <row r="307" spans="3:11" x14ac:dyDescent="0.3">
      <c r="C307" s="219" t="s">
        <v>1550</v>
      </c>
      <c r="D307" s="221">
        <v>100</v>
      </c>
      <c r="E307" s="255" t="s">
        <v>239</v>
      </c>
      <c r="F307" s="219">
        <v>3500</v>
      </c>
      <c r="G307" s="225"/>
      <c r="H307" s="67"/>
      <c r="I307" s="229"/>
      <c r="J3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7" s="67"/>
    </row>
    <row r="308" spans="3:11" x14ac:dyDescent="0.3">
      <c r="C308" s="219" t="s">
        <v>1551</v>
      </c>
      <c r="D308" s="221">
        <v>101</v>
      </c>
      <c r="E308" s="255" t="s">
        <v>239</v>
      </c>
      <c r="F308" s="219">
        <v>3500</v>
      </c>
      <c r="G308" s="225"/>
      <c r="H308" s="67"/>
      <c r="I308" s="229"/>
      <c r="J3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8" s="67"/>
    </row>
    <row r="309" spans="3:11" x14ac:dyDescent="0.3">
      <c r="C309" s="219" t="s">
        <v>1552</v>
      </c>
      <c r="D309" s="221">
        <v>102</v>
      </c>
      <c r="E309" s="255" t="s">
        <v>239</v>
      </c>
      <c r="F309" s="219">
        <v>3500</v>
      </c>
      <c r="G309" s="225"/>
      <c r="H309" s="67"/>
      <c r="I309" s="229"/>
      <c r="J3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9" s="67"/>
    </row>
    <row r="310" spans="3:11" x14ac:dyDescent="0.3">
      <c r="C310" s="219" t="s">
        <v>1553</v>
      </c>
      <c r="D310" s="221">
        <v>103</v>
      </c>
      <c r="E310" s="255" t="s">
        <v>239</v>
      </c>
      <c r="F310" s="219">
        <v>3500</v>
      </c>
      <c r="G310" s="225"/>
      <c r="H310" s="67"/>
      <c r="I310" s="229"/>
      <c r="J3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0" s="67"/>
    </row>
    <row r="311" spans="3:11" x14ac:dyDescent="0.3">
      <c r="C311" s="219" t="s">
        <v>1554</v>
      </c>
      <c r="D311" s="221">
        <v>104</v>
      </c>
      <c r="E311" s="255" t="s">
        <v>239</v>
      </c>
      <c r="F311" s="219">
        <v>3500</v>
      </c>
      <c r="G311" s="225"/>
      <c r="H311" s="67"/>
      <c r="I311" s="229"/>
      <c r="J3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1" s="67"/>
    </row>
    <row r="312" spans="3:11" x14ac:dyDescent="0.3">
      <c r="C312" s="219" t="s">
        <v>1555</v>
      </c>
      <c r="D312" s="221">
        <v>105</v>
      </c>
      <c r="E312" s="255" t="s">
        <v>239</v>
      </c>
      <c r="F312" s="219">
        <v>3500</v>
      </c>
      <c r="G312" s="225"/>
      <c r="H312" s="67"/>
      <c r="I312" s="229"/>
      <c r="J3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2" s="67"/>
    </row>
    <row r="313" spans="3:11" x14ac:dyDescent="0.3">
      <c r="C313" s="219" t="s">
        <v>1556</v>
      </c>
      <c r="D313" s="221">
        <v>106</v>
      </c>
      <c r="E313" s="255" t="s">
        <v>239</v>
      </c>
      <c r="F313" s="219">
        <v>3500</v>
      </c>
      <c r="G313" s="225"/>
      <c r="H313" s="67"/>
      <c r="I313" s="229"/>
      <c r="J3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3" s="67"/>
    </row>
    <row r="314" spans="3:11" x14ac:dyDescent="0.3">
      <c r="C314" s="219" t="s">
        <v>1557</v>
      </c>
      <c r="D314" s="221">
        <v>107</v>
      </c>
      <c r="E314" s="255" t="s">
        <v>239</v>
      </c>
      <c r="F314" s="219">
        <v>3500</v>
      </c>
      <c r="G314" s="225"/>
      <c r="H314" s="67"/>
      <c r="I314" s="229"/>
      <c r="J3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4" s="67"/>
    </row>
    <row r="315" spans="3:11" x14ac:dyDescent="0.3">
      <c r="C315" s="219" t="s">
        <v>1558</v>
      </c>
      <c r="D315" s="221">
        <v>108</v>
      </c>
      <c r="E315" s="255" t="s">
        <v>239</v>
      </c>
      <c r="F315" s="219">
        <v>3500</v>
      </c>
      <c r="G315" s="225"/>
      <c r="H315" s="67"/>
      <c r="I315" s="229"/>
      <c r="J3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5" s="67"/>
    </row>
    <row r="316" spans="3:11" x14ac:dyDescent="0.3">
      <c r="C316" s="219" t="s">
        <v>1559</v>
      </c>
      <c r="D316" s="221">
        <v>109</v>
      </c>
      <c r="E316" s="255" t="s">
        <v>239</v>
      </c>
      <c r="F316" s="219">
        <v>3500</v>
      </c>
      <c r="G316" s="225"/>
      <c r="H316" s="67"/>
      <c r="I316" s="229"/>
      <c r="J3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6" s="67"/>
    </row>
    <row r="317" spans="3:11" x14ac:dyDescent="0.3">
      <c r="C317" s="219" t="s">
        <v>1560</v>
      </c>
      <c r="D317" s="221">
        <v>110</v>
      </c>
      <c r="E317" s="255" t="s">
        <v>239</v>
      </c>
      <c r="F317" s="219">
        <v>3500</v>
      </c>
      <c r="G317" s="225"/>
      <c r="H317" s="67"/>
      <c r="I317" s="229"/>
      <c r="J3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7" s="67"/>
    </row>
    <row r="318" spans="3:11" x14ac:dyDescent="0.3">
      <c r="C318" s="219" t="s">
        <v>1189</v>
      </c>
      <c r="D318" s="221">
        <v>1</v>
      </c>
      <c r="E318" s="213" t="s">
        <v>1093</v>
      </c>
      <c r="F318" s="219">
        <v>3501</v>
      </c>
      <c r="G318" s="225"/>
      <c r="H318" s="67"/>
      <c r="I318" s="229"/>
      <c r="J3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8" s="67"/>
    </row>
    <row r="319" spans="3:11" x14ac:dyDescent="0.3">
      <c r="C319" s="219" t="s">
        <v>1190</v>
      </c>
      <c r="D319" s="221">
        <v>2</v>
      </c>
      <c r="E319" s="213" t="s">
        <v>1093</v>
      </c>
      <c r="F319" s="219">
        <v>3501</v>
      </c>
      <c r="G319" s="225"/>
      <c r="H319" s="67"/>
      <c r="I319" s="229"/>
      <c r="J3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9" s="67"/>
    </row>
    <row r="320" spans="3:11" x14ac:dyDescent="0.3">
      <c r="C320" s="219" t="s">
        <v>1191</v>
      </c>
      <c r="D320" s="221">
        <v>3</v>
      </c>
      <c r="E320" s="213" t="s">
        <v>1093</v>
      </c>
      <c r="F320" s="219">
        <v>3501</v>
      </c>
      <c r="G320" s="225"/>
      <c r="H320" s="67"/>
      <c r="I320" s="229"/>
      <c r="J3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0" s="67"/>
    </row>
    <row r="321" spans="3:11" x14ac:dyDescent="0.3">
      <c r="C321" s="219" t="s">
        <v>1192</v>
      </c>
      <c r="D321" s="221">
        <v>4</v>
      </c>
      <c r="E321" s="213" t="s">
        <v>1093</v>
      </c>
      <c r="F321" s="219">
        <v>3501</v>
      </c>
      <c r="G321" s="225"/>
      <c r="H321" s="67"/>
      <c r="I321" s="229"/>
      <c r="J3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1" s="67"/>
    </row>
    <row r="322" spans="3:11" x14ac:dyDescent="0.3">
      <c r="C322" s="219" t="s">
        <v>1193</v>
      </c>
      <c r="D322" s="221">
        <v>5</v>
      </c>
      <c r="E322" s="213" t="s">
        <v>1093</v>
      </c>
      <c r="F322" s="219">
        <v>3501</v>
      </c>
      <c r="G322" s="225"/>
      <c r="H322" s="67"/>
      <c r="I322" s="229"/>
      <c r="J3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2" s="67"/>
    </row>
    <row r="323" spans="3:11" x14ac:dyDescent="0.3">
      <c r="C323" s="219" t="s">
        <v>1194</v>
      </c>
      <c r="D323" s="221">
        <v>6</v>
      </c>
      <c r="E323" s="213" t="s">
        <v>1093</v>
      </c>
      <c r="F323" s="219">
        <v>3501</v>
      </c>
      <c r="G323" s="225"/>
      <c r="H323" s="67"/>
      <c r="I323" s="229"/>
      <c r="J3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3" s="67"/>
    </row>
    <row r="324" spans="3:11" x14ac:dyDescent="0.3">
      <c r="C324" s="219" t="s">
        <v>1195</v>
      </c>
      <c r="D324" s="221">
        <v>7</v>
      </c>
      <c r="E324" s="213" t="s">
        <v>1093</v>
      </c>
      <c r="F324" s="219">
        <v>3501</v>
      </c>
      <c r="G324" s="225"/>
      <c r="H324" s="67"/>
      <c r="I324" s="229"/>
      <c r="J3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4" s="67"/>
    </row>
    <row r="325" spans="3:11" x14ac:dyDescent="0.3">
      <c r="C325" s="219" t="s">
        <v>1196</v>
      </c>
      <c r="D325" s="221">
        <v>8</v>
      </c>
      <c r="E325" s="213" t="s">
        <v>1093</v>
      </c>
      <c r="F325" s="219">
        <v>3501</v>
      </c>
      <c r="G325" s="225"/>
      <c r="H325" s="67"/>
      <c r="I325" s="229"/>
      <c r="J3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5" s="67"/>
    </row>
    <row r="326" spans="3:11" x14ac:dyDescent="0.3">
      <c r="C326" s="219" t="s">
        <v>1197</v>
      </c>
      <c r="D326" s="221">
        <v>9</v>
      </c>
      <c r="E326" s="213" t="s">
        <v>1093</v>
      </c>
      <c r="F326" s="219">
        <v>3501</v>
      </c>
      <c r="G326" s="225"/>
      <c r="H326" s="67"/>
      <c r="I326" s="229"/>
      <c r="J3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7"/>
    </row>
    <row r="327" spans="3:11" x14ac:dyDescent="0.3">
      <c r="C327" s="219" t="s">
        <v>1198</v>
      </c>
      <c r="D327" s="221">
        <v>10</v>
      </c>
      <c r="E327" s="213" t="s">
        <v>1093</v>
      </c>
      <c r="F327" s="219">
        <v>3501</v>
      </c>
      <c r="G327" s="225"/>
      <c r="H327" s="67"/>
      <c r="I327" s="229"/>
      <c r="J3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7"/>
    </row>
    <row r="328" spans="3:11" x14ac:dyDescent="0.3">
      <c r="C328" s="219" t="s">
        <v>1199</v>
      </c>
      <c r="D328" s="221">
        <v>11</v>
      </c>
      <c r="E328" s="213" t="s">
        <v>1093</v>
      </c>
      <c r="F328" s="219">
        <v>3501</v>
      </c>
      <c r="G328" s="225"/>
      <c r="H328" s="67"/>
      <c r="I328" s="229"/>
      <c r="J3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7"/>
    </row>
    <row r="329" spans="3:11" x14ac:dyDescent="0.3">
      <c r="C329" s="219" t="s">
        <v>1200</v>
      </c>
      <c r="D329" s="221">
        <v>12</v>
      </c>
      <c r="E329" s="213" t="s">
        <v>1093</v>
      </c>
      <c r="F329" s="219">
        <v>3501</v>
      </c>
      <c r="G329" s="225"/>
      <c r="H329" s="67"/>
      <c r="I329" s="229"/>
      <c r="J3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7"/>
    </row>
    <row r="330" spans="3:11" x14ac:dyDescent="0.3">
      <c r="C330" s="219" t="s">
        <v>1201</v>
      </c>
      <c r="D330" s="221">
        <v>13</v>
      </c>
      <c r="E330" s="213" t="s">
        <v>1093</v>
      </c>
      <c r="F330" s="219">
        <v>3501</v>
      </c>
      <c r="G330" s="225"/>
      <c r="H330" s="67"/>
      <c r="I330" s="229"/>
      <c r="J3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7"/>
    </row>
    <row r="331" spans="3:11" x14ac:dyDescent="0.3">
      <c r="C331" s="219" t="s">
        <v>1202</v>
      </c>
      <c r="D331" s="221">
        <v>14</v>
      </c>
      <c r="E331" s="213" t="s">
        <v>1093</v>
      </c>
      <c r="F331" s="219">
        <v>3501</v>
      </c>
      <c r="G331" s="225"/>
      <c r="H331" s="67"/>
      <c r="I331" s="229"/>
      <c r="J3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7"/>
    </row>
    <row r="332" spans="3:11" x14ac:dyDescent="0.3">
      <c r="C332" s="219" t="s">
        <v>1203</v>
      </c>
      <c r="D332" s="221">
        <v>15</v>
      </c>
      <c r="E332" s="213" t="s">
        <v>1093</v>
      </c>
      <c r="F332" s="219">
        <v>3501</v>
      </c>
      <c r="G332" s="225"/>
      <c r="H332" s="67"/>
      <c r="I332" s="229"/>
      <c r="J3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7"/>
    </row>
    <row r="333" spans="3:11" x14ac:dyDescent="0.3">
      <c r="C333" s="219" t="s">
        <v>1204</v>
      </c>
      <c r="D333" s="221">
        <v>16</v>
      </c>
      <c r="E333" s="213" t="s">
        <v>1093</v>
      </c>
      <c r="F333" s="219">
        <v>3501</v>
      </c>
      <c r="G333" s="225"/>
      <c r="H333" s="67"/>
      <c r="I333" s="229"/>
      <c r="J3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7"/>
    </row>
    <row r="334" spans="3:11" x14ac:dyDescent="0.3">
      <c r="C334" s="219" t="s">
        <v>1205</v>
      </c>
      <c r="D334" s="221">
        <v>17</v>
      </c>
      <c r="E334" s="213" t="s">
        <v>1093</v>
      </c>
      <c r="F334" s="219">
        <v>3501</v>
      </c>
      <c r="G334" s="225"/>
      <c r="H334" s="67"/>
      <c r="I334" s="229"/>
      <c r="J3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7"/>
    </row>
    <row r="335" spans="3:11" x14ac:dyDescent="0.3">
      <c r="C335" s="219" t="s">
        <v>1206</v>
      </c>
      <c r="D335" s="221">
        <v>18</v>
      </c>
      <c r="E335" s="213" t="s">
        <v>1093</v>
      </c>
      <c r="F335" s="219">
        <v>3501</v>
      </c>
      <c r="G335" s="225"/>
      <c r="H335" s="67"/>
      <c r="I335" s="229"/>
      <c r="J3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7"/>
    </row>
    <row r="336" spans="3:11" x14ac:dyDescent="0.3">
      <c r="C336" s="219" t="s">
        <v>1207</v>
      </c>
      <c r="D336" s="221">
        <v>19</v>
      </c>
      <c r="E336" s="213" t="s">
        <v>1093</v>
      </c>
      <c r="F336" s="219">
        <v>3501</v>
      </c>
      <c r="G336" s="225"/>
      <c r="H336" s="67"/>
      <c r="I336" s="229"/>
      <c r="J3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7"/>
    </row>
    <row r="337" spans="3:11" x14ac:dyDescent="0.3">
      <c r="C337" s="219" t="s">
        <v>1208</v>
      </c>
      <c r="D337" s="221">
        <v>20</v>
      </c>
      <c r="E337" s="213" t="s">
        <v>1093</v>
      </c>
      <c r="F337" s="219">
        <v>3501</v>
      </c>
      <c r="G337" s="225"/>
      <c r="H337" s="67"/>
      <c r="I337" s="229"/>
      <c r="J3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7"/>
    </row>
    <row r="338" spans="3:11" x14ac:dyDescent="0.3">
      <c r="C338" s="219" t="s">
        <v>1209</v>
      </c>
      <c r="D338" s="221">
        <v>21</v>
      </c>
      <c r="E338" s="213" t="s">
        <v>1093</v>
      </c>
      <c r="F338" s="219">
        <v>3501</v>
      </c>
      <c r="G338" s="225"/>
      <c r="H338" s="67"/>
      <c r="I338" s="229"/>
      <c r="J3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7"/>
    </row>
    <row r="339" spans="3:11" x14ac:dyDescent="0.3">
      <c r="C339" s="219" t="s">
        <v>1210</v>
      </c>
      <c r="D339" s="221">
        <v>22</v>
      </c>
      <c r="E339" s="213" t="s">
        <v>1093</v>
      </c>
      <c r="F339" s="219">
        <v>3501</v>
      </c>
      <c r="G339" s="225"/>
      <c r="H339" s="67"/>
      <c r="I339" s="229"/>
      <c r="J3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7"/>
    </row>
    <row r="340" spans="3:11" x14ac:dyDescent="0.3">
      <c r="C340" s="219" t="s">
        <v>1211</v>
      </c>
      <c r="D340" s="221">
        <v>23</v>
      </c>
      <c r="E340" s="213" t="s">
        <v>1093</v>
      </c>
      <c r="F340" s="219">
        <v>3501</v>
      </c>
      <c r="G340" s="225"/>
      <c r="H340" s="67"/>
      <c r="I340" s="229"/>
      <c r="J3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7"/>
    </row>
    <row r="341" spans="3:11" x14ac:dyDescent="0.3">
      <c r="C341" s="219" t="s">
        <v>1212</v>
      </c>
      <c r="D341" s="221">
        <v>24</v>
      </c>
      <c r="E341" s="213" t="s">
        <v>1093</v>
      </c>
      <c r="F341" s="219">
        <v>3501</v>
      </c>
      <c r="G341" s="225"/>
      <c r="H341" s="67"/>
      <c r="I341" s="229"/>
      <c r="J3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7"/>
    </row>
    <row r="342" spans="3:11" x14ac:dyDescent="0.3">
      <c r="C342" s="219" t="s">
        <v>1213</v>
      </c>
      <c r="D342" s="221">
        <v>25</v>
      </c>
      <c r="E342" s="213" t="s">
        <v>1093</v>
      </c>
      <c r="F342" s="219">
        <v>3501</v>
      </c>
      <c r="G342" s="225"/>
      <c r="H342" s="67"/>
      <c r="I342" s="229"/>
      <c r="J3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7"/>
    </row>
    <row r="343" spans="3:11" x14ac:dyDescent="0.3">
      <c r="C343" s="219" t="s">
        <v>1214</v>
      </c>
      <c r="D343" s="221">
        <v>26</v>
      </c>
      <c r="E343" s="213" t="s">
        <v>1093</v>
      </c>
      <c r="F343" s="219">
        <v>3501</v>
      </c>
      <c r="G343" s="225"/>
      <c r="H343" s="67"/>
      <c r="I343" s="229"/>
      <c r="J3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7"/>
    </row>
    <row r="344" spans="3:11" x14ac:dyDescent="0.3">
      <c r="C344" s="219" t="s">
        <v>1215</v>
      </c>
      <c r="D344" s="221">
        <v>27</v>
      </c>
      <c r="E344" s="213" t="s">
        <v>1093</v>
      </c>
      <c r="F344" s="219">
        <v>3501</v>
      </c>
      <c r="G344" s="225"/>
      <c r="H344" s="67"/>
      <c r="I344" s="229"/>
      <c r="J3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7"/>
    </row>
    <row r="345" spans="3:11" x14ac:dyDescent="0.3">
      <c r="C345" s="219" t="s">
        <v>1216</v>
      </c>
      <c r="D345" s="221">
        <v>28</v>
      </c>
      <c r="E345" s="213" t="s">
        <v>1093</v>
      </c>
      <c r="F345" s="219">
        <v>3501</v>
      </c>
      <c r="G345" s="225"/>
      <c r="H345" s="67"/>
      <c r="I345" s="229"/>
      <c r="J3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7"/>
    </row>
    <row r="346" spans="3:11" x14ac:dyDescent="0.3">
      <c r="C346" s="219" t="s">
        <v>1217</v>
      </c>
      <c r="D346" s="221">
        <v>29</v>
      </c>
      <c r="E346" s="213" t="s">
        <v>1093</v>
      </c>
      <c r="F346" s="219">
        <v>3501</v>
      </c>
      <c r="G346" s="225"/>
      <c r="H346" s="67"/>
      <c r="I346" s="229"/>
      <c r="J3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7"/>
    </row>
    <row r="347" spans="3:11" x14ac:dyDescent="0.3">
      <c r="C347" s="219" t="s">
        <v>1218</v>
      </c>
      <c r="D347" s="221">
        <v>30</v>
      </c>
      <c r="E347" s="213" t="s">
        <v>1093</v>
      </c>
      <c r="F347" s="219">
        <v>3501</v>
      </c>
      <c r="G347" s="225"/>
      <c r="H347" s="67"/>
      <c r="I347" s="229"/>
      <c r="J3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7"/>
    </row>
    <row r="348" spans="3:11" x14ac:dyDescent="0.3">
      <c r="C348" s="219" t="s">
        <v>1219</v>
      </c>
      <c r="D348" s="221">
        <v>31</v>
      </c>
      <c r="E348" s="213" t="s">
        <v>1093</v>
      </c>
      <c r="F348" s="219">
        <v>3501</v>
      </c>
      <c r="G348" s="225"/>
      <c r="H348" s="67"/>
      <c r="I348" s="229"/>
      <c r="J3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7"/>
    </row>
    <row r="349" spans="3:11" x14ac:dyDescent="0.3">
      <c r="C349" s="219" t="s">
        <v>1220</v>
      </c>
      <c r="D349" s="221">
        <v>32</v>
      </c>
      <c r="E349" s="213" t="s">
        <v>1093</v>
      </c>
      <c r="F349" s="219">
        <v>3501</v>
      </c>
      <c r="G349" s="225"/>
      <c r="H349" s="67"/>
      <c r="I349" s="229"/>
      <c r="J3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7"/>
    </row>
    <row r="350" spans="3:11" x14ac:dyDescent="0.3">
      <c r="C350" s="219" t="s">
        <v>1221</v>
      </c>
      <c r="D350" s="221">
        <v>33</v>
      </c>
      <c r="E350" s="213" t="s">
        <v>1093</v>
      </c>
      <c r="F350" s="219">
        <v>3501</v>
      </c>
      <c r="G350" s="225"/>
      <c r="H350" s="67"/>
      <c r="I350" s="229"/>
      <c r="J3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7"/>
    </row>
    <row r="351" spans="3:11" x14ac:dyDescent="0.3">
      <c r="C351" s="219" t="s">
        <v>1222</v>
      </c>
      <c r="D351" s="221">
        <v>34</v>
      </c>
      <c r="E351" s="213" t="s">
        <v>1093</v>
      </c>
      <c r="F351" s="219">
        <v>3501</v>
      </c>
      <c r="G351" s="225"/>
      <c r="H351" s="67"/>
      <c r="I351" s="229"/>
      <c r="J3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7"/>
    </row>
    <row r="352" spans="3:11" x14ac:dyDescent="0.3">
      <c r="C352" s="219" t="s">
        <v>1223</v>
      </c>
      <c r="D352" s="221">
        <v>35</v>
      </c>
      <c r="E352" s="213" t="s">
        <v>1093</v>
      </c>
      <c r="F352" s="219">
        <v>3501</v>
      </c>
      <c r="G352" s="225"/>
      <c r="H352" s="67"/>
      <c r="I352" s="229"/>
      <c r="J3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7"/>
    </row>
    <row r="353" spans="3:11" x14ac:dyDescent="0.3">
      <c r="C353" s="219" t="s">
        <v>1224</v>
      </c>
      <c r="D353" s="221">
        <v>36</v>
      </c>
      <c r="E353" s="213" t="s">
        <v>1093</v>
      </c>
      <c r="F353" s="219">
        <v>3501</v>
      </c>
      <c r="G353" s="225"/>
      <c r="H353" s="67"/>
      <c r="I353" s="229"/>
      <c r="J3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7"/>
    </row>
    <row r="354" spans="3:11" x14ac:dyDescent="0.3">
      <c r="C354" s="219" t="s">
        <v>1225</v>
      </c>
      <c r="D354" s="221">
        <v>37</v>
      </c>
      <c r="E354" s="213" t="s">
        <v>1093</v>
      </c>
      <c r="F354" s="219">
        <v>3501</v>
      </c>
      <c r="G354" s="225"/>
      <c r="H354" s="67"/>
      <c r="I354" s="229"/>
      <c r="J3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7"/>
    </row>
    <row r="355" spans="3:11" x14ac:dyDescent="0.3">
      <c r="C355" s="219" t="s">
        <v>1226</v>
      </c>
      <c r="D355" s="221">
        <v>38</v>
      </c>
      <c r="E355" s="213" t="s">
        <v>1093</v>
      </c>
      <c r="F355" s="219">
        <v>3501</v>
      </c>
      <c r="G355" s="225"/>
      <c r="H355" s="67"/>
      <c r="I355" s="229"/>
      <c r="J3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7"/>
    </row>
    <row r="356" spans="3:11" x14ac:dyDescent="0.3">
      <c r="C356" s="219" t="s">
        <v>1227</v>
      </c>
      <c r="D356" s="221">
        <v>39</v>
      </c>
      <c r="E356" s="213" t="s">
        <v>1093</v>
      </c>
      <c r="F356" s="219">
        <v>3501</v>
      </c>
      <c r="G356" s="225"/>
      <c r="H356" s="67"/>
      <c r="I356" s="229"/>
      <c r="J3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7"/>
    </row>
    <row r="357" spans="3:11" x14ac:dyDescent="0.3">
      <c r="C357" s="219" t="s">
        <v>1228</v>
      </c>
      <c r="D357" s="221">
        <v>40</v>
      </c>
      <c r="E357" s="213" t="s">
        <v>1093</v>
      </c>
      <c r="F357" s="219">
        <v>3501</v>
      </c>
      <c r="G357" s="225"/>
      <c r="H357" s="67"/>
      <c r="I357" s="229"/>
      <c r="J3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7"/>
    </row>
    <row r="358" spans="3:11" x14ac:dyDescent="0.3">
      <c r="C358" s="219" t="s">
        <v>1229</v>
      </c>
      <c r="D358" s="221">
        <v>41</v>
      </c>
      <c r="E358" s="213" t="s">
        <v>1093</v>
      </c>
      <c r="F358" s="219">
        <v>3501</v>
      </c>
      <c r="G358" s="225"/>
      <c r="H358" s="67"/>
      <c r="I358" s="229"/>
      <c r="J3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7"/>
    </row>
    <row r="359" spans="3:11" x14ac:dyDescent="0.3">
      <c r="C359" s="219" t="s">
        <v>1230</v>
      </c>
      <c r="D359" s="221">
        <v>42</v>
      </c>
      <c r="E359" s="213" t="s">
        <v>1093</v>
      </c>
      <c r="F359" s="219">
        <v>3501</v>
      </c>
      <c r="G359" s="225"/>
      <c r="H359" s="67"/>
      <c r="I359" s="229"/>
      <c r="J3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7"/>
    </row>
    <row r="360" spans="3:11" x14ac:dyDescent="0.3">
      <c r="C360" s="219" t="s">
        <v>1231</v>
      </c>
      <c r="D360" s="221">
        <v>43</v>
      </c>
      <c r="E360" s="213" t="s">
        <v>1093</v>
      </c>
      <c r="F360" s="219">
        <v>3501</v>
      </c>
      <c r="G360" s="225"/>
      <c r="H360" s="67"/>
      <c r="I360" s="229"/>
      <c r="J3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7"/>
    </row>
    <row r="361" spans="3:11" x14ac:dyDescent="0.3">
      <c r="C361" s="219" t="s">
        <v>1232</v>
      </c>
      <c r="D361" s="221">
        <v>44</v>
      </c>
      <c r="E361" s="213" t="s">
        <v>1093</v>
      </c>
      <c r="F361" s="219">
        <v>3501</v>
      </c>
      <c r="G361" s="225"/>
      <c r="H361" s="67"/>
      <c r="I361" s="229"/>
      <c r="J3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7"/>
    </row>
    <row r="362" spans="3:11" x14ac:dyDescent="0.3">
      <c r="C362" s="219" t="s">
        <v>1233</v>
      </c>
      <c r="D362" s="221">
        <v>45</v>
      </c>
      <c r="E362" s="213" t="s">
        <v>1093</v>
      </c>
      <c r="F362" s="219">
        <v>3501</v>
      </c>
      <c r="G362" s="225"/>
      <c r="H362" s="67"/>
      <c r="I362" s="229"/>
      <c r="J3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7"/>
    </row>
    <row r="363" spans="3:11" x14ac:dyDescent="0.3">
      <c r="C363" s="219" t="s">
        <v>1234</v>
      </c>
      <c r="D363" s="221">
        <v>46</v>
      </c>
      <c r="E363" s="213" t="s">
        <v>1093</v>
      </c>
      <c r="F363" s="219">
        <v>3501</v>
      </c>
      <c r="G363" s="225"/>
      <c r="H363" s="67"/>
      <c r="I363" s="229"/>
      <c r="J3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7"/>
    </row>
    <row r="364" spans="3:11" x14ac:dyDescent="0.3">
      <c r="C364" s="219" t="s">
        <v>1235</v>
      </c>
      <c r="D364" s="221">
        <v>47</v>
      </c>
      <c r="E364" s="213" t="s">
        <v>1093</v>
      </c>
      <c r="F364" s="219">
        <v>3501</v>
      </c>
      <c r="G364" s="225"/>
      <c r="H364" s="67"/>
      <c r="I364" s="229"/>
      <c r="J3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7"/>
    </row>
    <row r="365" spans="3:11" x14ac:dyDescent="0.3">
      <c r="C365" s="219" t="s">
        <v>1236</v>
      </c>
      <c r="D365" s="221">
        <v>48</v>
      </c>
      <c r="E365" s="213" t="s">
        <v>1093</v>
      </c>
      <c r="F365" s="219">
        <v>3501</v>
      </c>
      <c r="G365" s="225"/>
      <c r="H365" s="67"/>
      <c r="I365" s="229"/>
      <c r="J3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7"/>
    </row>
    <row r="366" spans="3:11" x14ac:dyDescent="0.3">
      <c r="C366" s="219" t="s">
        <v>1237</v>
      </c>
      <c r="D366" s="221">
        <v>49</v>
      </c>
      <c r="E366" s="213" t="s">
        <v>1093</v>
      </c>
      <c r="F366" s="219">
        <v>3501</v>
      </c>
      <c r="G366" s="225"/>
      <c r="H366" s="67"/>
      <c r="I366" s="229"/>
      <c r="J3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7"/>
    </row>
    <row r="367" spans="3:11" x14ac:dyDescent="0.3">
      <c r="C367" s="219" t="s">
        <v>1238</v>
      </c>
      <c r="D367" s="221">
        <v>50</v>
      </c>
      <c r="E367" s="213" t="s">
        <v>1093</v>
      </c>
      <c r="F367" s="219">
        <v>3501</v>
      </c>
      <c r="G367" s="225"/>
      <c r="H367" s="67"/>
      <c r="I367" s="229"/>
      <c r="J3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7"/>
    </row>
    <row r="368" spans="3:11" x14ac:dyDescent="0.3">
      <c r="C368" s="219" t="s">
        <v>1239</v>
      </c>
      <c r="D368" s="221">
        <v>51</v>
      </c>
      <c r="E368" s="213" t="s">
        <v>1093</v>
      </c>
      <c r="F368" s="219">
        <v>3501</v>
      </c>
      <c r="G368" s="225"/>
      <c r="H368" s="67"/>
      <c r="I368" s="229"/>
      <c r="J3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7"/>
    </row>
    <row r="369" spans="3:11" x14ac:dyDescent="0.3">
      <c r="C369" s="219" t="s">
        <v>1240</v>
      </c>
      <c r="D369" s="221">
        <v>52</v>
      </c>
      <c r="E369" s="213" t="s">
        <v>1093</v>
      </c>
      <c r="F369" s="219">
        <v>3501</v>
      </c>
      <c r="G369" s="225"/>
      <c r="H369" s="67"/>
      <c r="I369" s="229"/>
      <c r="J3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7"/>
    </row>
    <row r="370" spans="3:11" x14ac:dyDescent="0.3">
      <c r="C370" s="219" t="s">
        <v>1241</v>
      </c>
      <c r="D370" s="221">
        <v>53</v>
      </c>
      <c r="E370" s="213" t="s">
        <v>1093</v>
      </c>
      <c r="F370" s="219">
        <v>3501</v>
      </c>
      <c r="G370" s="225"/>
      <c r="H370" s="67"/>
      <c r="I370" s="229"/>
      <c r="J3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7"/>
    </row>
    <row r="371" spans="3:11" x14ac:dyDescent="0.3">
      <c r="C371" s="219" t="s">
        <v>1242</v>
      </c>
      <c r="D371" s="221">
        <v>54</v>
      </c>
      <c r="E371" s="213" t="s">
        <v>1093</v>
      </c>
      <c r="F371" s="219">
        <v>3501</v>
      </c>
      <c r="G371" s="225"/>
      <c r="H371" s="67"/>
      <c r="I371" s="229"/>
      <c r="J3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7"/>
    </row>
    <row r="372" spans="3:11" x14ac:dyDescent="0.3">
      <c r="C372" s="219" t="s">
        <v>1243</v>
      </c>
      <c r="D372" s="221">
        <v>55</v>
      </c>
      <c r="E372" s="213" t="s">
        <v>1093</v>
      </c>
      <c r="F372" s="219">
        <v>3501</v>
      </c>
      <c r="G372" s="225"/>
      <c r="H372" s="67"/>
      <c r="I372" s="229"/>
      <c r="J3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7"/>
    </row>
    <row r="373" spans="3:11" x14ac:dyDescent="0.3">
      <c r="C373" s="219" t="s">
        <v>1244</v>
      </c>
      <c r="D373" s="221">
        <v>56</v>
      </c>
      <c r="E373" s="213" t="s">
        <v>1093</v>
      </c>
      <c r="F373" s="219">
        <v>3501</v>
      </c>
      <c r="G373" s="225"/>
      <c r="H373" s="67"/>
      <c r="I373" s="229"/>
      <c r="J3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7"/>
    </row>
    <row r="374" spans="3:11" x14ac:dyDescent="0.3">
      <c r="C374" s="219" t="s">
        <v>1245</v>
      </c>
      <c r="D374" s="221">
        <v>57</v>
      </c>
      <c r="E374" s="213" t="s">
        <v>1093</v>
      </c>
      <c r="F374" s="219">
        <v>3501</v>
      </c>
      <c r="G374" s="225"/>
      <c r="H374" s="67"/>
      <c r="I374" s="229"/>
      <c r="J3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7"/>
    </row>
    <row r="375" spans="3:11" x14ac:dyDescent="0.3">
      <c r="C375" s="219" t="s">
        <v>1246</v>
      </c>
      <c r="D375" s="221">
        <v>58</v>
      </c>
      <c r="E375" s="213" t="s">
        <v>1093</v>
      </c>
      <c r="F375" s="219">
        <v>3501</v>
      </c>
      <c r="G375" s="225"/>
      <c r="H375" s="67"/>
      <c r="I375" s="229"/>
      <c r="J3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7"/>
    </row>
    <row r="376" spans="3:11" x14ac:dyDescent="0.3">
      <c r="C376" s="219" t="s">
        <v>1247</v>
      </c>
      <c r="D376" s="221">
        <v>59</v>
      </c>
      <c r="E376" s="213" t="s">
        <v>1093</v>
      </c>
      <c r="F376" s="219">
        <v>3501</v>
      </c>
      <c r="G376" s="225"/>
      <c r="H376" s="67"/>
      <c r="I376" s="229"/>
      <c r="J3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7"/>
    </row>
    <row r="377" spans="3:11" x14ac:dyDescent="0.3">
      <c r="C377" s="219" t="s">
        <v>1248</v>
      </c>
      <c r="D377" s="221">
        <v>60</v>
      </c>
      <c r="E377" s="213" t="s">
        <v>1093</v>
      </c>
      <c r="F377" s="219">
        <v>3501</v>
      </c>
      <c r="G377" s="225"/>
      <c r="H377" s="67"/>
      <c r="I377" s="229"/>
      <c r="J3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7"/>
    </row>
    <row r="378" spans="3:11" x14ac:dyDescent="0.3">
      <c r="C378" s="219" t="s">
        <v>1249</v>
      </c>
      <c r="D378" s="221">
        <v>61</v>
      </c>
      <c r="E378" s="213" t="s">
        <v>1093</v>
      </c>
      <c r="F378" s="219">
        <v>3501</v>
      </c>
      <c r="G378" s="225"/>
      <c r="H378" s="67"/>
      <c r="I378" s="229"/>
      <c r="J3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7"/>
    </row>
    <row r="379" spans="3:11" x14ac:dyDescent="0.3">
      <c r="C379" s="219" t="s">
        <v>1250</v>
      </c>
      <c r="D379" s="221">
        <v>62</v>
      </c>
      <c r="E379" s="213" t="s">
        <v>1093</v>
      </c>
      <c r="F379" s="219">
        <v>3501</v>
      </c>
      <c r="G379" s="225"/>
      <c r="H379" s="67"/>
      <c r="I379" s="229"/>
      <c r="J3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7"/>
    </row>
    <row r="380" spans="3:11" x14ac:dyDescent="0.3">
      <c r="C380" s="219" t="s">
        <v>1251</v>
      </c>
      <c r="D380" s="221">
        <v>63</v>
      </c>
      <c r="E380" s="213" t="s">
        <v>1093</v>
      </c>
      <c r="F380" s="219">
        <v>3501</v>
      </c>
      <c r="G380" s="225"/>
      <c r="H380" s="67"/>
      <c r="I380" s="229"/>
      <c r="J3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7"/>
    </row>
    <row r="381" spans="3:11" x14ac:dyDescent="0.3">
      <c r="C381" s="219" t="s">
        <v>1252</v>
      </c>
      <c r="D381" s="221">
        <v>64</v>
      </c>
      <c r="E381" s="213" t="s">
        <v>1093</v>
      </c>
      <c r="F381" s="219">
        <v>3501</v>
      </c>
      <c r="G381" s="225"/>
      <c r="H381" s="67"/>
      <c r="I381" s="229"/>
      <c r="J3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7"/>
    </row>
    <row r="382" spans="3:11" x14ac:dyDescent="0.3">
      <c r="C382" s="219" t="s">
        <v>1253</v>
      </c>
      <c r="D382" s="221">
        <v>65</v>
      </c>
      <c r="E382" s="213" t="s">
        <v>1093</v>
      </c>
      <c r="F382" s="219">
        <v>3501</v>
      </c>
      <c r="G382" s="225"/>
      <c r="H382" s="67"/>
      <c r="I382" s="229"/>
      <c r="J3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7"/>
    </row>
    <row r="383" spans="3:11" x14ac:dyDescent="0.3">
      <c r="C383" s="219" t="s">
        <v>1254</v>
      </c>
      <c r="D383" s="221">
        <v>66</v>
      </c>
      <c r="E383" s="213" t="s">
        <v>1093</v>
      </c>
      <c r="F383" s="219">
        <v>3501</v>
      </c>
      <c r="G383" s="225"/>
      <c r="H383" s="67"/>
      <c r="I383" s="229"/>
      <c r="J3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7"/>
    </row>
    <row r="384" spans="3:11" x14ac:dyDescent="0.3">
      <c r="C384" s="219" t="s">
        <v>1255</v>
      </c>
      <c r="D384" s="221">
        <v>67</v>
      </c>
      <c r="E384" s="213" t="s">
        <v>1093</v>
      </c>
      <c r="F384" s="219">
        <v>3501</v>
      </c>
      <c r="G384" s="225"/>
      <c r="H384" s="67"/>
      <c r="I384" s="229"/>
      <c r="J3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7"/>
    </row>
    <row r="385" spans="3:11" x14ac:dyDescent="0.3">
      <c r="C385" s="219" t="s">
        <v>1256</v>
      </c>
      <c r="D385" s="221">
        <v>68</v>
      </c>
      <c r="E385" s="213" t="s">
        <v>1093</v>
      </c>
      <c r="F385" s="219">
        <v>3501</v>
      </c>
      <c r="G385" s="225"/>
      <c r="H385" s="67"/>
      <c r="I385" s="229"/>
      <c r="J3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7"/>
    </row>
    <row r="386" spans="3:11" x14ac:dyDescent="0.3">
      <c r="C386" s="219" t="s">
        <v>1257</v>
      </c>
      <c r="D386" s="221">
        <v>69</v>
      </c>
      <c r="E386" s="213" t="s">
        <v>1093</v>
      </c>
      <c r="F386" s="219">
        <v>3501</v>
      </c>
      <c r="G386" s="225"/>
      <c r="H386" s="67"/>
      <c r="I386" s="229"/>
      <c r="J3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7"/>
    </row>
    <row r="387" spans="3:11" x14ac:dyDescent="0.3">
      <c r="C387" s="219" t="s">
        <v>1258</v>
      </c>
      <c r="D387" s="221">
        <v>70</v>
      </c>
      <c r="E387" s="213" t="s">
        <v>1093</v>
      </c>
      <c r="F387" s="219">
        <v>3501</v>
      </c>
      <c r="G387" s="225"/>
      <c r="H387" s="67"/>
      <c r="I387" s="229"/>
      <c r="J3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7"/>
    </row>
    <row r="388" spans="3:11" x14ac:dyDescent="0.3">
      <c r="C388" s="219" t="s">
        <v>1259</v>
      </c>
      <c r="D388" s="221">
        <v>71</v>
      </c>
      <c r="E388" s="213" t="s">
        <v>1093</v>
      </c>
      <c r="F388" s="219">
        <v>3501</v>
      </c>
      <c r="G388" s="225"/>
      <c r="H388" s="67"/>
      <c r="I388" s="229"/>
      <c r="J3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7"/>
    </row>
    <row r="389" spans="3:11" x14ac:dyDescent="0.3">
      <c r="C389" s="219" t="s">
        <v>1260</v>
      </c>
      <c r="D389" s="221">
        <v>72</v>
      </c>
      <c r="E389" s="213" t="s">
        <v>1093</v>
      </c>
      <c r="F389" s="219">
        <v>3501</v>
      </c>
      <c r="G389" s="225"/>
      <c r="H389" s="67"/>
      <c r="I389" s="229"/>
      <c r="J3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7"/>
    </row>
    <row r="390" spans="3:11" x14ac:dyDescent="0.3">
      <c r="C390" s="219" t="s">
        <v>1261</v>
      </c>
      <c r="D390" s="221">
        <v>73</v>
      </c>
      <c r="E390" s="213" t="s">
        <v>1093</v>
      </c>
      <c r="F390" s="219">
        <v>3501</v>
      </c>
      <c r="G390" s="225"/>
      <c r="H390" s="67"/>
      <c r="I390" s="229"/>
      <c r="J3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7"/>
    </row>
    <row r="391" spans="3:11" x14ac:dyDescent="0.3">
      <c r="C391" s="219" t="s">
        <v>1262</v>
      </c>
      <c r="D391" s="221">
        <v>74</v>
      </c>
      <c r="E391" s="213" t="s">
        <v>1093</v>
      </c>
      <c r="F391" s="219">
        <v>3501</v>
      </c>
      <c r="G391" s="225"/>
      <c r="H391" s="67"/>
      <c r="I391" s="229"/>
      <c r="J3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7"/>
    </row>
    <row r="392" spans="3:11" x14ac:dyDescent="0.3">
      <c r="C392" s="219" t="s">
        <v>1263</v>
      </c>
      <c r="D392" s="221">
        <v>75</v>
      </c>
      <c r="E392" s="213" t="s">
        <v>1093</v>
      </c>
      <c r="F392" s="219">
        <v>3501</v>
      </c>
      <c r="G392" s="225"/>
      <c r="H392" s="67"/>
      <c r="I392" s="229"/>
      <c r="J3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7"/>
    </row>
    <row r="393" spans="3:11" x14ac:dyDescent="0.3">
      <c r="C393" s="219" t="s">
        <v>1264</v>
      </c>
      <c r="D393" s="221">
        <v>76</v>
      </c>
      <c r="E393" s="213" t="s">
        <v>1093</v>
      </c>
      <c r="F393" s="219">
        <v>3501</v>
      </c>
      <c r="G393" s="225"/>
      <c r="H393" s="67"/>
      <c r="I393" s="229"/>
      <c r="J3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7"/>
    </row>
    <row r="394" spans="3:11" x14ac:dyDescent="0.3">
      <c r="C394" s="219" t="s">
        <v>1265</v>
      </c>
      <c r="D394" s="221">
        <v>77</v>
      </c>
      <c r="E394" s="213" t="s">
        <v>1093</v>
      </c>
      <c r="F394" s="219">
        <v>3501</v>
      </c>
      <c r="G394" s="225"/>
      <c r="H394" s="67"/>
      <c r="I394" s="229"/>
      <c r="J3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7"/>
    </row>
    <row r="395" spans="3:11" x14ac:dyDescent="0.3">
      <c r="C395" s="219" t="s">
        <v>1266</v>
      </c>
      <c r="D395" s="221">
        <v>78</v>
      </c>
      <c r="E395" s="213" t="s">
        <v>1093</v>
      </c>
      <c r="F395" s="219">
        <v>3501</v>
      </c>
      <c r="G395" s="225"/>
      <c r="H395" s="67"/>
      <c r="I395" s="229"/>
      <c r="J3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7"/>
    </row>
    <row r="396" spans="3:11" x14ac:dyDescent="0.3">
      <c r="C396" s="219" t="s">
        <v>1267</v>
      </c>
      <c r="D396" s="221">
        <v>79</v>
      </c>
      <c r="E396" s="213" t="s">
        <v>1093</v>
      </c>
      <c r="F396" s="219">
        <v>3501</v>
      </c>
      <c r="G396" s="225"/>
      <c r="H396" s="67"/>
      <c r="I396" s="229"/>
      <c r="J3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7"/>
    </row>
    <row r="397" spans="3:11" x14ac:dyDescent="0.3">
      <c r="C397" s="219" t="s">
        <v>1268</v>
      </c>
      <c r="D397" s="221">
        <v>80</v>
      </c>
      <c r="E397" s="213" t="s">
        <v>1093</v>
      </c>
      <c r="F397" s="219">
        <v>3501</v>
      </c>
      <c r="G397" s="225"/>
      <c r="H397" s="67"/>
      <c r="I397" s="229"/>
      <c r="J3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7"/>
    </row>
    <row r="398" spans="3:11" x14ac:dyDescent="0.3">
      <c r="C398" s="219" t="s">
        <v>1269</v>
      </c>
      <c r="D398" s="221">
        <v>81</v>
      </c>
      <c r="E398" s="213" t="s">
        <v>1093</v>
      </c>
      <c r="F398" s="219">
        <v>3501</v>
      </c>
      <c r="G398" s="225"/>
      <c r="H398" s="67"/>
      <c r="I398" s="229"/>
      <c r="J3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7"/>
    </row>
    <row r="399" spans="3:11" x14ac:dyDescent="0.3">
      <c r="C399" s="219" t="s">
        <v>1270</v>
      </c>
      <c r="D399" s="221">
        <v>82</v>
      </c>
      <c r="E399" s="213" t="s">
        <v>1093</v>
      </c>
      <c r="F399" s="219">
        <v>3501</v>
      </c>
      <c r="G399" s="225"/>
      <c r="H399" s="67"/>
      <c r="I399" s="229"/>
      <c r="J3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7"/>
    </row>
    <row r="400" spans="3:11" x14ac:dyDescent="0.3">
      <c r="C400" s="219" t="s">
        <v>1271</v>
      </c>
      <c r="D400" s="221">
        <v>83</v>
      </c>
      <c r="E400" s="213" t="s">
        <v>1093</v>
      </c>
      <c r="F400" s="219">
        <v>3501</v>
      </c>
      <c r="G400" s="225"/>
      <c r="H400" s="67"/>
      <c r="I400" s="229"/>
      <c r="J4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7"/>
    </row>
    <row r="401" spans="3:11" x14ac:dyDescent="0.3">
      <c r="C401" s="219" t="s">
        <v>1272</v>
      </c>
      <c r="D401" s="221">
        <v>84</v>
      </c>
      <c r="E401" s="213" t="s">
        <v>1093</v>
      </c>
      <c r="F401" s="219">
        <v>3501</v>
      </c>
      <c r="G401" s="225"/>
      <c r="H401" s="67"/>
      <c r="I401" s="229"/>
      <c r="J4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7"/>
    </row>
    <row r="402" spans="3:11" x14ac:dyDescent="0.3">
      <c r="C402" s="219" t="s">
        <v>1273</v>
      </c>
      <c r="D402" s="221">
        <v>85</v>
      </c>
      <c r="E402" s="213" t="s">
        <v>1093</v>
      </c>
      <c r="F402" s="219">
        <v>3501</v>
      </c>
      <c r="G402" s="225"/>
      <c r="H402" s="67"/>
      <c r="I402" s="229"/>
      <c r="J4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7"/>
    </row>
    <row r="403" spans="3:11" x14ac:dyDescent="0.3">
      <c r="C403" s="219" t="s">
        <v>1274</v>
      </c>
      <c r="D403" s="221">
        <v>86</v>
      </c>
      <c r="E403" s="213" t="s">
        <v>1093</v>
      </c>
      <c r="F403" s="219">
        <v>3501</v>
      </c>
      <c r="G403" s="225"/>
      <c r="H403" s="67"/>
      <c r="I403" s="229"/>
      <c r="J4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7"/>
    </row>
    <row r="404" spans="3:11" x14ac:dyDescent="0.3">
      <c r="C404" s="219" t="s">
        <v>1275</v>
      </c>
      <c r="D404" s="221">
        <v>87</v>
      </c>
      <c r="E404" s="213" t="s">
        <v>1093</v>
      </c>
      <c r="F404" s="219">
        <v>3501</v>
      </c>
      <c r="G404" s="225"/>
      <c r="H404" s="67"/>
      <c r="I404" s="229"/>
      <c r="J4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7"/>
    </row>
    <row r="405" spans="3:11" x14ac:dyDescent="0.3">
      <c r="C405" s="219" t="s">
        <v>1276</v>
      </c>
      <c r="D405" s="221">
        <v>88</v>
      </c>
      <c r="E405" s="213" t="s">
        <v>1093</v>
      </c>
      <c r="F405" s="219">
        <v>3501</v>
      </c>
      <c r="G405" s="225"/>
      <c r="H405" s="67"/>
      <c r="I405" s="229"/>
      <c r="J4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7"/>
    </row>
    <row r="406" spans="3:11" x14ac:dyDescent="0.3">
      <c r="C406" s="219" t="s">
        <v>1277</v>
      </c>
      <c r="D406" s="221">
        <v>89</v>
      </c>
      <c r="E406" s="213" t="s">
        <v>1093</v>
      </c>
      <c r="F406" s="219">
        <v>3501</v>
      </c>
      <c r="G406" s="225"/>
      <c r="H406" s="67"/>
      <c r="I406" s="229"/>
      <c r="J4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7"/>
    </row>
    <row r="407" spans="3:11" x14ac:dyDescent="0.3">
      <c r="C407" s="219" t="s">
        <v>1278</v>
      </c>
      <c r="D407" s="221">
        <v>90</v>
      </c>
      <c r="E407" s="213" t="s">
        <v>1093</v>
      </c>
      <c r="F407" s="219">
        <v>3501</v>
      </c>
      <c r="G407" s="225"/>
      <c r="H407" s="67"/>
      <c r="I407" s="229"/>
      <c r="J4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7"/>
    </row>
    <row r="408" spans="3:11" x14ac:dyDescent="0.3">
      <c r="C408" s="219" t="s">
        <v>1279</v>
      </c>
      <c r="D408" s="221">
        <v>91</v>
      </c>
      <c r="E408" s="213" t="s">
        <v>1093</v>
      </c>
      <c r="F408" s="219">
        <v>3501</v>
      </c>
      <c r="G408" s="225"/>
      <c r="H408" s="67"/>
      <c r="I408" s="229"/>
      <c r="J4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7"/>
    </row>
    <row r="409" spans="3:11" x14ac:dyDescent="0.3">
      <c r="C409" s="219" t="s">
        <v>1280</v>
      </c>
      <c r="D409" s="221">
        <v>92</v>
      </c>
      <c r="E409" s="213" t="s">
        <v>1093</v>
      </c>
      <c r="F409" s="219">
        <v>3501</v>
      </c>
      <c r="G409" s="225"/>
      <c r="H409" s="67"/>
      <c r="I409" s="229"/>
      <c r="J4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7"/>
    </row>
    <row r="410" spans="3:11" x14ac:dyDescent="0.3">
      <c r="C410" s="219" t="s">
        <v>1281</v>
      </c>
      <c r="D410" s="221">
        <v>93</v>
      </c>
      <c r="E410" s="213" t="s">
        <v>1093</v>
      </c>
      <c r="F410" s="219">
        <v>3501</v>
      </c>
      <c r="G410" s="225"/>
      <c r="H410" s="67"/>
      <c r="I410" s="229"/>
      <c r="J4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7"/>
    </row>
    <row r="411" spans="3:11" x14ac:dyDescent="0.3">
      <c r="C411" s="219" t="s">
        <v>1282</v>
      </c>
      <c r="D411" s="221">
        <v>94</v>
      </c>
      <c r="E411" s="213" t="s">
        <v>1093</v>
      </c>
      <c r="F411" s="219">
        <v>3501</v>
      </c>
      <c r="G411" s="225"/>
      <c r="H411" s="67"/>
      <c r="I411" s="229"/>
      <c r="J4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7"/>
    </row>
    <row r="412" spans="3:11" x14ac:dyDescent="0.3">
      <c r="C412" s="219" t="s">
        <v>1283</v>
      </c>
      <c r="D412" s="221">
        <v>95</v>
      </c>
      <c r="E412" s="213" t="s">
        <v>1093</v>
      </c>
      <c r="F412" s="219">
        <v>3501</v>
      </c>
      <c r="G412" s="225"/>
      <c r="H412" s="67"/>
      <c r="I412" s="229"/>
      <c r="J4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7"/>
    </row>
    <row r="413" spans="3:11" x14ac:dyDescent="0.3">
      <c r="C413" s="219" t="s">
        <v>1284</v>
      </c>
      <c r="D413" s="221">
        <v>96</v>
      </c>
      <c r="E413" s="213" t="s">
        <v>1093</v>
      </c>
      <c r="F413" s="219">
        <v>3501</v>
      </c>
      <c r="G413" s="225"/>
      <c r="H413" s="67"/>
      <c r="I413" s="229"/>
      <c r="J4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7"/>
    </row>
    <row r="414" spans="3:11" x14ac:dyDescent="0.3">
      <c r="C414" s="219" t="s">
        <v>1285</v>
      </c>
      <c r="D414" s="221">
        <v>97</v>
      </c>
      <c r="E414" s="213" t="s">
        <v>1093</v>
      </c>
      <c r="F414" s="219">
        <v>3501</v>
      </c>
      <c r="G414" s="225"/>
      <c r="H414" s="67"/>
      <c r="I414" s="229"/>
      <c r="J4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7"/>
    </row>
    <row r="415" spans="3:11" x14ac:dyDescent="0.3">
      <c r="C415" s="219" t="s">
        <v>1286</v>
      </c>
      <c r="D415" s="221">
        <v>98</v>
      </c>
      <c r="E415" s="213" t="s">
        <v>1093</v>
      </c>
      <c r="F415" s="219">
        <v>3501</v>
      </c>
      <c r="G415" s="225"/>
      <c r="H415" s="67"/>
      <c r="I415" s="229"/>
      <c r="J4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7"/>
    </row>
    <row r="416" spans="3:11" x14ac:dyDescent="0.3">
      <c r="C416" s="219" t="s">
        <v>1287</v>
      </c>
      <c r="D416" s="221">
        <v>99</v>
      </c>
      <c r="E416" s="213" t="s">
        <v>1093</v>
      </c>
      <c r="F416" s="219">
        <v>3501</v>
      </c>
      <c r="G416" s="225"/>
      <c r="H416" s="67"/>
      <c r="I416" s="229"/>
      <c r="J4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7"/>
    </row>
    <row r="417" spans="3:11" x14ac:dyDescent="0.3">
      <c r="C417" s="219" t="s">
        <v>1288</v>
      </c>
      <c r="D417" s="221">
        <v>100</v>
      </c>
      <c r="E417" s="213" t="s">
        <v>1093</v>
      </c>
      <c r="F417" s="219">
        <v>3501</v>
      </c>
      <c r="G417" s="225"/>
      <c r="H417" s="67"/>
      <c r="I417" s="229"/>
      <c r="J4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7"/>
    </row>
    <row r="418" spans="3:11" x14ac:dyDescent="0.3">
      <c r="C418" s="219" t="s">
        <v>1289</v>
      </c>
      <c r="D418" s="221">
        <v>101</v>
      </c>
      <c r="E418" s="213" t="s">
        <v>1093</v>
      </c>
      <c r="F418" s="219">
        <v>3501</v>
      </c>
      <c r="G418" s="225"/>
      <c r="H418" s="67"/>
      <c r="I418" s="229"/>
      <c r="J4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7"/>
    </row>
    <row r="419" spans="3:11" x14ac:dyDescent="0.3">
      <c r="C419" s="219" t="s">
        <v>1290</v>
      </c>
      <c r="D419" s="221">
        <v>102</v>
      </c>
      <c r="E419" s="213" t="s">
        <v>1093</v>
      </c>
      <c r="F419" s="219">
        <v>3501</v>
      </c>
      <c r="G419" s="225"/>
      <c r="H419" s="67"/>
      <c r="I419" s="229"/>
      <c r="J4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7"/>
    </row>
    <row r="420" spans="3:11" x14ac:dyDescent="0.3">
      <c r="C420" s="219" t="s">
        <v>1291</v>
      </c>
      <c r="D420" s="221">
        <v>103</v>
      </c>
      <c r="E420" s="213" t="s">
        <v>1093</v>
      </c>
      <c r="F420" s="219">
        <v>3501</v>
      </c>
      <c r="G420" s="225"/>
      <c r="H420" s="67"/>
      <c r="I420" s="229"/>
      <c r="J4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7"/>
    </row>
    <row r="421" spans="3:11" x14ac:dyDescent="0.3">
      <c r="C421" s="219" t="s">
        <v>1292</v>
      </c>
      <c r="D421" s="221">
        <v>104</v>
      </c>
      <c r="E421" s="213" t="s">
        <v>1093</v>
      </c>
      <c r="F421" s="219">
        <v>3501</v>
      </c>
      <c r="G421" s="225"/>
      <c r="H421" s="67"/>
      <c r="I421" s="229"/>
      <c r="J4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7"/>
    </row>
    <row r="422" spans="3:11" x14ac:dyDescent="0.3">
      <c r="C422" s="219" t="s">
        <v>1293</v>
      </c>
      <c r="D422" s="221">
        <v>105</v>
      </c>
      <c r="E422" s="213" t="s">
        <v>1093</v>
      </c>
      <c r="F422" s="219">
        <v>3501</v>
      </c>
      <c r="G422" s="225"/>
      <c r="H422" s="67"/>
      <c r="I422" s="229"/>
      <c r="J4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7"/>
    </row>
    <row r="423" spans="3:11" x14ac:dyDescent="0.3">
      <c r="C423" s="219" t="s">
        <v>1294</v>
      </c>
      <c r="D423" s="221">
        <v>106</v>
      </c>
      <c r="E423" s="213" t="s">
        <v>1093</v>
      </c>
      <c r="F423" s="219">
        <v>3501</v>
      </c>
      <c r="G423" s="225"/>
      <c r="H423" s="67"/>
      <c r="I423" s="229"/>
      <c r="J4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7"/>
    </row>
    <row r="424" spans="3:11" x14ac:dyDescent="0.3">
      <c r="C424" s="219" t="s">
        <v>1295</v>
      </c>
      <c r="D424" s="221">
        <v>107</v>
      </c>
      <c r="E424" s="213" t="s">
        <v>1093</v>
      </c>
      <c r="F424" s="219">
        <v>3501</v>
      </c>
      <c r="G424" s="225"/>
      <c r="H424" s="67"/>
      <c r="I424" s="229"/>
      <c r="J4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7"/>
    </row>
    <row r="425" spans="3:11" x14ac:dyDescent="0.3">
      <c r="C425" s="219" t="s">
        <v>1296</v>
      </c>
      <c r="D425" s="221">
        <v>108</v>
      </c>
      <c r="E425" s="213" t="s">
        <v>1093</v>
      </c>
      <c r="F425" s="219">
        <v>3501</v>
      </c>
      <c r="G425" s="225"/>
      <c r="H425" s="67"/>
      <c r="I425" s="229"/>
      <c r="J4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7"/>
    </row>
    <row r="426" spans="3:11" x14ac:dyDescent="0.3">
      <c r="C426" s="219" t="s">
        <v>1297</v>
      </c>
      <c r="D426" s="221">
        <v>109</v>
      </c>
      <c r="E426" s="213" t="s">
        <v>1093</v>
      </c>
      <c r="F426" s="219">
        <v>3501</v>
      </c>
      <c r="G426" s="225"/>
      <c r="H426" s="67"/>
      <c r="I426" s="229"/>
      <c r="J4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7"/>
    </row>
    <row r="427" spans="3:11" x14ac:dyDescent="0.3">
      <c r="C427" s="219" t="s">
        <v>1298</v>
      </c>
      <c r="D427" s="221">
        <v>110</v>
      </c>
      <c r="E427" s="213" t="s">
        <v>1093</v>
      </c>
      <c r="F427" s="219">
        <v>3501</v>
      </c>
      <c r="G427" s="225"/>
      <c r="H427" s="67"/>
      <c r="I427" s="229"/>
      <c r="J4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7"/>
    </row>
    <row r="428" spans="3:11" x14ac:dyDescent="0.3">
      <c r="C428" s="219" t="s">
        <v>1299</v>
      </c>
      <c r="D428" s="221">
        <v>111</v>
      </c>
      <c r="E428" s="213" t="s">
        <v>1093</v>
      </c>
      <c r="F428" s="219">
        <v>3501</v>
      </c>
      <c r="G428" s="225"/>
      <c r="H428" s="67"/>
      <c r="I428" s="229"/>
      <c r="J4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7"/>
    </row>
    <row r="429" spans="3:11" x14ac:dyDescent="0.3">
      <c r="C429" s="219" t="s">
        <v>1300</v>
      </c>
      <c r="D429" s="221">
        <v>112</v>
      </c>
      <c r="E429" s="213" t="s">
        <v>1093</v>
      </c>
      <c r="F429" s="219">
        <v>3501</v>
      </c>
      <c r="G429" s="225"/>
      <c r="H429" s="67"/>
      <c r="I429" s="229"/>
      <c r="J4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7"/>
    </row>
    <row r="430" spans="3:11" x14ac:dyDescent="0.3">
      <c r="C430" s="219" t="s">
        <v>1301</v>
      </c>
      <c r="D430" s="221">
        <v>113</v>
      </c>
      <c r="E430" s="213" t="s">
        <v>1093</v>
      </c>
      <c r="F430" s="219">
        <v>3501</v>
      </c>
      <c r="G430" s="225"/>
      <c r="H430" s="67"/>
      <c r="I430" s="229"/>
      <c r="J4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7"/>
    </row>
    <row r="431" spans="3:11" x14ac:dyDescent="0.3">
      <c r="C431" s="219" t="s">
        <v>1302</v>
      </c>
      <c r="D431" s="221">
        <v>114</v>
      </c>
      <c r="E431" s="213" t="s">
        <v>1093</v>
      </c>
      <c r="F431" s="219">
        <v>3501</v>
      </c>
      <c r="G431" s="225"/>
      <c r="H431" s="67"/>
      <c r="I431" s="229"/>
      <c r="J4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7"/>
    </row>
    <row r="432" spans="3:11" x14ac:dyDescent="0.3">
      <c r="C432" s="219" t="s">
        <v>1303</v>
      </c>
      <c r="D432" s="221">
        <v>115</v>
      </c>
      <c r="E432" s="213" t="s">
        <v>1093</v>
      </c>
      <c r="F432" s="219">
        <v>3501</v>
      </c>
      <c r="G432" s="225"/>
      <c r="H432" s="67"/>
      <c r="I432" s="229"/>
      <c r="J4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7"/>
    </row>
    <row r="433" spans="3:11" x14ac:dyDescent="0.3">
      <c r="C433" s="219" t="s">
        <v>1304</v>
      </c>
      <c r="D433" s="221">
        <v>116</v>
      </c>
      <c r="E433" s="213" t="s">
        <v>1093</v>
      </c>
      <c r="F433" s="219">
        <v>3501</v>
      </c>
      <c r="G433" s="225"/>
      <c r="H433" s="67"/>
      <c r="I433" s="229"/>
      <c r="J4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7"/>
    </row>
    <row r="434" spans="3:11" x14ac:dyDescent="0.3">
      <c r="C434" s="219" t="s">
        <v>1305</v>
      </c>
      <c r="D434" s="221">
        <v>117</v>
      </c>
      <c r="E434" s="213" t="s">
        <v>1093</v>
      </c>
      <c r="F434" s="219">
        <v>3501</v>
      </c>
      <c r="G434" s="225"/>
      <c r="H434" s="67"/>
      <c r="I434" s="229"/>
      <c r="J4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7"/>
    </row>
    <row r="435" spans="3:11" x14ac:dyDescent="0.3">
      <c r="C435" s="219" t="s">
        <v>1306</v>
      </c>
      <c r="D435" s="221">
        <v>118</v>
      </c>
      <c r="E435" s="213" t="s">
        <v>1093</v>
      </c>
      <c r="F435" s="219">
        <v>3501</v>
      </c>
      <c r="G435" s="225"/>
      <c r="H435" s="67"/>
      <c r="I435" s="229"/>
      <c r="J4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7"/>
    </row>
    <row r="436" spans="3:11" x14ac:dyDescent="0.3">
      <c r="C436" s="219" t="s">
        <v>1307</v>
      </c>
      <c r="D436" s="221">
        <v>119</v>
      </c>
      <c r="E436" s="213" t="s">
        <v>1093</v>
      </c>
      <c r="F436" s="219">
        <v>3501</v>
      </c>
      <c r="G436" s="225"/>
      <c r="H436" s="67"/>
      <c r="I436" s="229"/>
      <c r="J4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7"/>
    </row>
    <row r="437" spans="3:11" x14ac:dyDescent="0.3">
      <c r="C437" s="219" t="s">
        <v>1308</v>
      </c>
      <c r="D437" s="221">
        <v>120</v>
      </c>
      <c r="E437" s="213" t="s">
        <v>1093</v>
      </c>
      <c r="F437" s="219">
        <v>3501</v>
      </c>
      <c r="G437" s="225"/>
      <c r="H437" s="67"/>
      <c r="I437" s="229"/>
      <c r="J4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7"/>
    </row>
    <row r="438" spans="3:11" x14ac:dyDescent="0.3">
      <c r="C438" s="219" t="s">
        <v>1561</v>
      </c>
      <c r="D438" s="221">
        <v>121</v>
      </c>
      <c r="E438" s="213" t="s">
        <v>1093</v>
      </c>
      <c r="F438" s="219">
        <v>3501</v>
      </c>
      <c r="G438" s="225"/>
      <c r="H438" s="67"/>
      <c r="I438" s="229"/>
      <c r="J4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7"/>
    </row>
    <row r="439" spans="3:11" x14ac:dyDescent="0.3">
      <c r="C439" s="219" t="s">
        <v>1562</v>
      </c>
      <c r="D439" s="221">
        <v>122</v>
      </c>
      <c r="E439" s="213" t="s">
        <v>1093</v>
      </c>
      <c r="F439" s="219">
        <v>3501</v>
      </c>
      <c r="G439" s="225"/>
      <c r="H439" s="67"/>
      <c r="I439" s="229"/>
      <c r="J4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7"/>
    </row>
    <row r="440" spans="3:11" x14ac:dyDescent="0.3">
      <c r="C440" s="219" t="s">
        <v>1563</v>
      </c>
      <c r="D440" s="221">
        <v>123</v>
      </c>
      <c r="E440" s="213" t="s">
        <v>1093</v>
      </c>
      <c r="F440" s="219">
        <v>3501</v>
      </c>
      <c r="G440" s="225"/>
      <c r="H440" s="67"/>
      <c r="I440" s="229"/>
      <c r="J4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7"/>
    </row>
    <row r="441" spans="3:11" x14ac:dyDescent="0.3">
      <c r="C441" s="219" t="s">
        <v>1564</v>
      </c>
      <c r="D441" s="221">
        <v>124</v>
      </c>
      <c r="E441" s="213" t="s">
        <v>1093</v>
      </c>
      <c r="F441" s="219">
        <v>3501</v>
      </c>
      <c r="G441" s="225"/>
      <c r="H441" s="67"/>
      <c r="I441" s="229"/>
      <c r="J4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7"/>
    </row>
    <row r="442" spans="3:11" x14ac:dyDescent="0.3">
      <c r="C442" s="219" t="s">
        <v>1565</v>
      </c>
      <c r="D442" s="221">
        <v>125</v>
      </c>
      <c r="E442" s="213" t="s">
        <v>1093</v>
      </c>
      <c r="F442" s="219">
        <v>3501</v>
      </c>
      <c r="G442" s="225"/>
      <c r="H442" s="67"/>
      <c r="I442" s="229"/>
      <c r="J4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7"/>
    </row>
    <row r="443" spans="3:11" x14ac:dyDescent="0.3">
      <c r="C443" s="219" t="s">
        <v>1566</v>
      </c>
      <c r="D443" s="221">
        <v>126</v>
      </c>
      <c r="E443" s="213" t="s">
        <v>1093</v>
      </c>
      <c r="F443" s="219">
        <v>3501</v>
      </c>
      <c r="G443" s="225"/>
      <c r="H443" s="67"/>
      <c r="I443" s="229"/>
      <c r="J4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7"/>
    </row>
    <row r="444" spans="3:11" x14ac:dyDescent="0.3">
      <c r="C444" s="219" t="s">
        <v>1567</v>
      </c>
      <c r="D444" s="221">
        <v>127</v>
      </c>
      <c r="E444" s="213" t="s">
        <v>1093</v>
      </c>
      <c r="F444" s="219">
        <v>3501</v>
      </c>
      <c r="G444" s="225"/>
      <c r="H444" s="67"/>
      <c r="I444" s="229"/>
      <c r="J4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7"/>
    </row>
    <row r="445" spans="3:11" x14ac:dyDescent="0.3">
      <c r="C445" s="219" t="s">
        <v>1568</v>
      </c>
      <c r="D445" s="221">
        <v>128</v>
      </c>
      <c r="E445" s="213" t="s">
        <v>1093</v>
      </c>
      <c r="F445" s="219">
        <v>3501</v>
      </c>
      <c r="G445" s="225"/>
      <c r="H445" s="67"/>
      <c r="I445" s="229"/>
      <c r="J4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7"/>
    </row>
    <row r="446" spans="3:11" x14ac:dyDescent="0.3">
      <c r="C446" s="219" t="s">
        <v>1569</v>
      </c>
      <c r="D446" s="221">
        <v>129</v>
      </c>
      <c r="E446" s="213" t="s">
        <v>1093</v>
      </c>
      <c r="F446" s="219">
        <v>3501</v>
      </c>
      <c r="G446" s="225"/>
      <c r="H446" s="67"/>
      <c r="I446" s="229"/>
      <c r="J4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7"/>
    </row>
    <row r="447" spans="3:11" x14ac:dyDescent="0.3">
      <c r="C447" s="219" t="s">
        <v>1570</v>
      </c>
      <c r="D447" s="221">
        <v>130</v>
      </c>
      <c r="E447" s="213" t="s">
        <v>1093</v>
      </c>
      <c r="F447" s="219">
        <v>3501</v>
      </c>
      <c r="G447" s="225"/>
      <c r="H447" s="67"/>
      <c r="I447" s="229"/>
      <c r="J4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7"/>
    </row>
    <row r="448" spans="3:11" x14ac:dyDescent="0.3">
      <c r="C448" s="219" t="s">
        <v>1571</v>
      </c>
      <c r="D448" s="221">
        <v>131</v>
      </c>
      <c r="E448" s="213" t="s">
        <v>1093</v>
      </c>
      <c r="F448" s="219">
        <v>3501</v>
      </c>
      <c r="G448" s="225"/>
      <c r="H448" s="67"/>
      <c r="I448" s="229"/>
      <c r="J4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7"/>
    </row>
    <row r="449" spans="3:11" x14ac:dyDescent="0.3">
      <c r="C449" s="219" t="s">
        <v>1572</v>
      </c>
      <c r="D449" s="221">
        <v>132</v>
      </c>
      <c r="E449" s="213" t="s">
        <v>1093</v>
      </c>
      <c r="F449" s="219">
        <v>3501</v>
      </c>
      <c r="G449" s="225"/>
      <c r="H449" s="67"/>
      <c r="I449" s="229"/>
      <c r="J4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7"/>
    </row>
    <row r="450" spans="3:11" x14ac:dyDescent="0.3">
      <c r="C450" s="219" t="s">
        <v>1573</v>
      </c>
      <c r="D450" s="221">
        <v>133</v>
      </c>
      <c r="E450" s="213" t="s">
        <v>1093</v>
      </c>
      <c r="F450" s="219">
        <v>3501</v>
      </c>
      <c r="G450" s="225"/>
      <c r="H450" s="67"/>
      <c r="I450" s="229"/>
      <c r="J4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7"/>
    </row>
    <row r="451" spans="3:11" x14ac:dyDescent="0.3">
      <c r="C451" s="219" t="s">
        <v>1574</v>
      </c>
      <c r="D451" s="221">
        <v>134</v>
      </c>
      <c r="E451" s="213" t="s">
        <v>1093</v>
      </c>
      <c r="F451" s="219">
        <v>3501</v>
      </c>
      <c r="G451" s="225"/>
      <c r="H451" s="67"/>
      <c r="I451" s="229"/>
      <c r="J4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7"/>
    </row>
    <row r="452" spans="3:11" x14ac:dyDescent="0.3">
      <c r="C452" s="219" t="s">
        <v>1575</v>
      </c>
      <c r="D452" s="221">
        <v>135</v>
      </c>
      <c r="E452" s="213" t="s">
        <v>1093</v>
      </c>
      <c r="F452" s="219">
        <v>3501</v>
      </c>
      <c r="G452" s="225"/>
      <c r="H452" s="67"/>
      <c r="I452" s="229"/>
      <c r="J4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7"/>
    </row>
    <row r="453" spans="3:11" x14ac:dyDescent="0.3">
      <c r="C453" s="219" t="s">
        <v>1576</v>
      </c>
      <c r="D453" s="221">
        <v>136</v>
      </c>
      <c r="E453" s="213" t="s">
        <v>1093</v>
      </c>
      <c r="F453" s="219">
        <v>3501</v>
      </c>
      <c r="G453" s="225"/>
      <c r="H453" s="67"/>
      <c r="I453" s="229"/>
      <c r="J4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7"/>
    </row>
    <row r="454" spans="3:11" x14ac:dyDescent="0.3">
      <c r="C454" s="219" t="s">
        <v>1577</v>
      </c>
      <c r="D454" s="221">
        <v>137</v>
      </c>
      <c r="E454" s="213" t="s">
        <v>1093</v>
      </c>
      <c r="F454" s="219">
        <v>3501</v>
      </c>
      <c r="G454" s="225"/>
      <c r="H454" s="67"/>
      <c r="I454" s="229"/>
      <c r="J4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7"/>
    </row>
    <row r="455" spans="3:11" x14ac:dyDescent="0.3">
      <c r="C455" s="219" t="s">
        <v>1578</v>
      </c>
      <c r="D455" s="221">
        <v>138</v>
      </c>
      <c r="E455" s="213" t="s">
        <v>1093</v>
      </c>
      <c r="F455" s="219">
        <v>3501</v>
      </c>
      <c r="G455" s="225"/>
      <c r="H455" s="67"/>
      <c r="I455" s="229"/>
      <c r="J4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7"/>
    </row>
    <row r="456" spans="3:11" x14ac:dyDescent="0.3">
      <c r="C456" s="219" t="s">
        <v>1579</v>
      </c>
      <c r="D456" s="221">
        <v>139</v>
      </c>
      <c r="E456" s="213" t="s">
        <v>1093</v>
      </c>
      <c r="F456" s="219">
        <v>3501</v>
      </c>
      <c r="G456" s="225"/>
      <c r="H456" s="67"/>
      <c r="I456" s="229"/>
      <c r="J4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7"/>
    </row>
    <row r="457" spans="3:11" x14ac:dyDescent="0.3">
      <c r="C457" s="219" t="s">
        <v>1580</v>
      </c>
      <c r="D457" s="221">
        <v>140</v>
      </c>
      <c r="E457" s="213" t="s">
        <v>1093</v>
      </c>
      <c r="F457" s="219">
        <v>3501</v>
      </c>
      <c r="G457" s="225"/>
      <c r="H457" s="67"/>
      <c r="I457" s="229"/>
      <c r="J4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7"/>
    </row>
    <row r="458" spans="3:11" x14ac:dyDescent="0.3">
      <c r="C458" s="219" t="s">
        <v>1581</v>
      </c>
      <c r="D458" s="221">
        <v>141</v>
      </c>
      <c r="E458" s="213" t="s">
        <v>1093</v>
      </c>
      <c r="F458" s="219">
        <v>3501</v>
      </c>
      <c r="G458" s="225"/>
      <c r="H458" s="67"/>
      <c r="I458" s="229"/>
      <c r="J4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7"/>
    </row>
    <row r="459" spans="3:11" x14ac:dyDescent="0.3">
      <c r="C459" s="219" t="s">
        <v>1582</v>
      </c>
      <c r="D459" s="221">
        <v>142</v>
      </c>
      <c r="E459" s="213" t="s">
        <v>1093</v>
      </c>
      <c r="F459" s="219">
        <v>3501</v>
      </c>
      <c r="G459" s="225"/>
      <c r="H459" s="67"/>
      <c r="I459" s="229"/>
      <c r="J4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7"/>
    </row>
    <row r="460" spans="3:11" x14ac:dyDescent="0.3">
      <c r="C460" s="219" t="s">
        <v>1583</v>
      </c>
      <c r="D460" s="221">
        <v>143</v>
      </c>
      <c r="E460" s="213" t="s">
        <v>1093</v>
      </c>
      <c r="F460" s="219">
        <v>3501</v>
      </c>
      <c r="G460" s="225"/>
      <c r="H460" s="67"/>
      <c r="I460" s="229"/>
      <c r="J4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7"/>
    </row>
    <row r="461" spans="3:11" x14ac:dyDescent="0.3">
      <c r="C461" s="219" t="s">
        <v>1584</v>
      </c>
      <c r="D461" s="221">
        <v>144</v>
      </c>
      <c r="E461" s="213" t="s">
        <v>1093</v>
      </c>
      <c r="F461" s="219">
        <v>3501</v>
      </c>
      <c r="G461" s="225"/>
      <c r="H461" s="67"/>
      <c r="I461" s="229"/>
      <c r="J4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7"/>
    </row>
    <row r="462" spans="3:11" x14ac:dyDescent="0.3">
      <c r="C462" s="219" t="s">
        <v>1585</v>
      </c>
      <c r="D462" s="221">
        <v>145</v>
      </c>
      <c r="E462" s="213" t="s">
        <v>1093</v>
      </c>
      <c r="F462" s="219">
        <v>3501</v>
      </c>
      <c r="G462" s="225"/>
      <c r="H462" s="67"/>
      <c r="I462" s="229"/>
      <c r="J4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7"/>
    </row>
    <row r="463" spans="3:11" x14ac:dyDescent="0.3">
      <c r="C463" s="219" t="s">
        <v>1586</v>
      </c>
      <c r="D463" s="221">
        <v>146</v>
      </c>
      <c r="E463" s="213" t="s">
        <v>1093</v>
      </c>
      <c r="F463" s="219">
        <v>3501</v>
      </c>
      <c r="G463" s="225"/>
      <c r="H463" s="67"/>
      <c r="I463" s="229"/>
      <c r="J4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7"/>
    </row>
    <row r="464" spans="3:11" x14ac:dyDescent="0.3">
      <c r="C464" s="219" t="s">
        <v>1587</v>
      </c>
      <c r="D464" s="221">
        <v>147</v>
      </c>
      <c r="E464" s="213" t="s">
        <v>1093</v>
      </c>
      <c r="F464" s="219">
        <v>3501</v>
      </c>
      <c r="G464" s="225"/>
      <c r="H464" s="67"/>
      <c r="I464" s="229"/>
      <c r="J4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7"/>
    </row>
    <row r="465" spans="3:11" x14ac:dyDescent="0.3">
      <c r="C465" s="219" t="s">
        <v>1588</v>
      </c>
      <c r="D465" s="221">
        <v>148</v>
      </c>
      <c r="E465" s="213" t="s">
        <v>1093</v>
      </c>
      <c r="F465" s="219">
        <v>3501</v>
      </c>
      <c r="G465" s="225"/>
      <c r="H465" s="67"/>
      <c r="I465" s="229"/>
      <c r="J4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7"/>
    </row>
    <row r="466" spans="3:11" x14ac:dyDescent="0.3">
      <c r="C466" s="219" t="s">
        <v>1589</v>
      </c>
      <c r="D466" s="221">
        <v>149</v>
      </c>
      <c r="E466" s="213" t="s">
        <v>1093</v>
      </c>
      <c r="F466" s="219">
        <v>3501</v>
      </c>
      <c r="G466" s="225"/>
      <c r="H466" s="67"/>
      <c r="I466" s="229"/>
      <c r="J4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7"/>
    </row>
    <row r="467" spans="3:11" x14ac:dyDescent="0.3">
      <c r="C467" s="219" t="s">
        <v>1590</v>
      </c>
      <c r="D467" s="221">
        <v>150</v>
      </c>
      <c r="E467" s="213" t="s">
        <v>1093</v>
      </c>
      <c r="F467" s="219">
        <v>3501</v>
      </c>
      <c r="G467" s="225"/>
      <c r="H467" s="67"/>
      <c r="I467" s="229"/>
      <c r="J4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7"/>
    </row>
    <row r="468" spans="3:11" x14ac:dyDescent="0.3">
      <c r="C468" s="219" t="s">
        <v>1591</v>
      </c>
      <c r="D468" s="221">
        <v>151</v>
      </c>
      <c r="E468" s="213" t="s">
        <v>1093</v>
      </c>
      <c r="F468" s="219">
        <v>3501</v>
      </c>
      <c r="G468" s="225"/>
      <c r="H468" s="67"/>
      <c r="I468" s="229"/>
      <c r="J4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8" s="67"/>
    </row>
    <row r="469" spans="3:11" x14ac:dyDescent="0.3">
      <c r="C469" s="219" t="s">
        <v>1592</v>
      </c>
      <c r="D469" s="221">
        <v>152</v>
      </c>
      <c r="E469" s="213" t="s">
        <v>1093</v>
      </c>
      <c r="F469" s="219">
        <v>3501</v>
      </c>
      <c r="G469" s="225"/>
      <c r="H469" s="67"/>
      <c r="I469" s="229"/>
      <c r="J4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9" s="67"/>
    </row>
    <row r="470" spans="3:11" x14ac:dyDescent="0.3">
      <c r="C470" s="219" t="s">
        <v>1593</v>
      </c>
      <c r="D470" s="221">
        <v>153</v>
      </c>
      <c r="E470" s="213" t="s">
        <v>1093</v>
      </c>
      <c r="F470" s="219">
        <v>3501</v>
      </c>
      <c r="G470" s="225"/>
      <c r="H470" s="67"/>
      <c r="I470" s="229"/>
      <c r="J4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0" s="67"/>
    </row>
    <row r="471" spans="3:11" x14ac:dyDescent="0.3">
      <c r="C471" s="219" t="s">
        <v>1594</v>
      </c>
      <c r="D471" s="221">
        <v>154</v>
      </c>
      <c r="E471" s="213" t="s">
        <v>1093</v>
      </c>
      <c r="F471" s="219">
        <v>3501</v>
      </c>
      <c r="G471" s="225"/>
      <c r="H471" s="67"/>
      <c r="I471" s="229"/>
      <c r="J4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1" s="67"/>
    </row>
    <row r="472" spans="3:11" x14ac:dyDescent="0.3">
      <c r="C472" s="219" t="s">
        <v>1595</v>
      </c>
      <c r="D472" s="221">
        <v>155</v>
      </c>
      <c r="E472" s="213" t="s">
        <v>1093</v>
      </c>
      <c r="F472" s="219">
        <v>3501</v>
      </c>
      <c r="G472" s="225"/>
      <c r="H472" s="67"/>
      <c r="I472" s="229"/>
      <c r="J4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2" s="67"/>
    </row>
    <row r="473" spans="3:11" x14ac:dyDescent="0.3">
      <c r="C473" s="219" t="s">
        <v>1596</v>
      </c>
      <c r="D473" s="221">
        <v>156</v>
      </c>
      <c r="E473" s="213" t="s">
        <v>1093</v>
      </c>
      <c r="F473" s="219">
        <v>3501</v>
      </c>
      <c r="G473" s="225"/>
      <c r="H473" s="67"/>
      <c r="I473" s="229"/>
      <c r="J4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3" s="67"/>
    </row>
    <row r="474" spans="3:11" x14ac:dyDescent="0.3">
      <c r="C474" s="219" t="s">
        <v>1597</v>
      </c>
      <c r="D474" s="221">
        <v>157</v>
      </c>
      <c r="E474" s="213" t="s">
        <v>1093</v>
      </c>
      <c r="F474" s="219">
        <v>3501</v>
      </c>
      <c r="G474" s="225"/>
      <c r="H474" s="67"/>
      <c r="I474" s="229"/>
      <c r="J4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4" s="67"/>
    </row>
    <row r="475" spans="3:11" x14ac:dyDescent="0.3">
      <c r="C475" s="219" t="s">
        <v>1598</v>
      </c>
      <c r="D475" s="221">
        <v>158</v>
      </c>
      <c r="E475" s="213" t="s">
        <v>1093</v>
      </c>
      <c r="F475" s="219">
        <v>3501</v>
      </c>
      <c r="G475" s="225"/>
      <c r="H475" s="67"/>
      <c r="I475" s="229"/>
      <c r="J4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5" s="67"/>
    </row>
    <row r="476" spans="3:11" x14ac:dyDescent="0.3">
      <c r="C476" s="219" t="s">
        <v>1599</v>
      </c>
      <c r="D476" s="221">
        <v>159</v>
      </c>
      <c r="E476" s="213" t="s">
        <v>1093</v>
      </c>
      <c r="F476" s="219">
        <v>3501</v>
      </c>
      <c r="G476" s="225"/>
      <c r="H476" s="67"/>
      <c r="I476" s="229"/>
      <c r="J4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6" s="67"/>
    </row>
    <row r="477" spans="3:11" x14ac:dyDescent="0.3">
      <c r="C477" s="219" t="s">
        <v>1600</v>
      </c>
      <c r="D477" s="221">
        <v>160</v>
      </c>
      <c r="E477" s="213" t="s">
        <v>1093</v>
      </c>
      <c r="F477" s="219">
        <v>3501</v>
      </c>
      <c r="G477" s="225"/>
      <c r="H477" s="67"/>
      <c r="I477" s="229"/>
      <c r="J4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7" s="67"/>
    </row>
    <row r="478" spans="3:11" x14ac:dyDescent="0.3">
      <c r="C478" s="219" t="s">
        <v>1601</v>
      </c>
      <c r="D478" s="221">
        <v>161</v>
      </c>
      <c r="E478" s="213" t="s">
        <v>1093</v>
      </c>
      <c r="F478" s="219">
        <v>3501</v>
      </c>
      <c r="G478" s="225"/>
      <c r="H478" s="67"/>
      <c r="I478" s="229"/>
      <c r="J4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8" s="67"/>
    </row>
    <row r="479" spans="3:11" x14ac:dyDescent="0.3">
      <c r="C479" s="219" t="s">
        <v>1602</v>
      </c>
      <c r="D479" s="221">
        <v>162</v>
      </c>
      <c r="E479" s="213" t="s">
        <v>1093</v>
      </c>
      <c r="F479" s="219">
        <v>3501</v>
      </c>
      <c r="G479" s="225"/>
      <c r="H479" s="67"/>
      <c r="I479" s="229"/>
      <c r="J4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9" s="67"/>
    </row>
    <row r="480" spans="3:11" x14ac:dyDescent="0.3">
      <c r="C480" s="219" t="s">
        <v>1603</v>
      </c>
      <c r="D480" s="221">
        <v>163</v>
      </c>
      <c r="E480" s="213" t="s">
        <v>1093</v>
      </c>
      <c r="F480" s="219">
        <v>3501</v>
      </c>
      <c r="G480" s="225"/>
      <c r="H480" s="67"/>
      <c r="I480" s="229"/>
      <c r="J4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0" s="67"/>
    </row>
    <row r="481" spans="3:11" x14ac:dyDescent="0.3">
      <c r="C481" s="219" t="s">
        <v>1604</v>
      </c>
      <c r="D481" s="221">
        <v>164</v>
      </c>
      <c r="E481" s="213" t="s">
        <v>1093</v>
      </c>
      <c r="F481" s="219">
        <v>3501</v>
      </c>
      <c r="G481" s="225"/>
      <c r="H481" s="67"/>
      <c r="I481" s="229"/>
      <c r="J4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1" s="67"/>
    </row>
    <row r="482" spans="3:11" x14ac:dyDescent="0.3">
      <c r="C482" s="219" t="s">
        <v>1605</v>
      </c>
      <c r="D482" s="221">
        <v>165</v>
      </c>
      <c r="E482" s="213" t="s">
        <v>1093</v>
      </c>
      <c r="F482" s="219">
        <v>3501</v>
      </c>
      <c r="G482" s="225"/>
      <c r="H482" s="67"/>
      <c r="I482" s="229"/>
      <c r="J4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2" s="67"/>
    </row>
    <row r="483" spans="3:11" x14ac:dyDescent="0.3">
      <c r="C483" s="219" t="s">
        <v>1606</v>
      </c>
      <c r="D483" s="221">
        <v>166</v>
      </c>
      <c r="E483" s="213" t="s">
        <v>1093</v>
      </c>
      <c r="F483" s="219">
        <v>3501</v>
      </c>
      <c r="G483" s="225"/>
      <c r="H483" s="67"/>
      <c r="I483" s="229"/>
      <c r="J4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3" s="67"/>
    </row>
    <row r="484" spans="3:11" x14ac:dyDescent="0.3">
      <c r="C484" s="219" t="s">
        <v>1607</v>
      </c>
      <c r="D484" s="221">
        <v>167</v>
      </c>
      <c r="E484" s="213" t="s">
        <v>1093</v>
      </c>
      <c r="F484" s="219">
        <v>3501</v>
      </c>
      <c r="G484" s="225"/>
      <c r="H484" s="67"/>
      <c r="I484" s="229"/>
      <c r="J4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4" s="67"/>
    </row>
    <row r="485" spans="3:11" x14ac:dyDescent="0.3">
      <c r="C485" s="219" t="s">
        <v>1608</v>
      </c>
      <c r="D485" s="221">
        <v>168</v>
      </c>
      <c r="E485" s="213" t="s">
        <v>1093</v>
      </c>
      <c r="F485" s="219">
        <v>3501</v>
      </c>
      <c r="G485" s="225"/>
      <c r="H485" s="67"/>
      <c r="I485" s="229"/>
      <c r="J4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5" s="67"/>
    </row>
    <row r="486" spans="3:11" x14ac:dyDescent="0.3">
      <c r="C486" s="219" t="s">
        <v>1609</v>
      </c>
      <c r="D486" s="221">
        <v>169</v>
      </c>
      <c r="E486" s="213" t="s">
        <v>1093</v>
      </c>
      <c r="F486" s="219">
        <v>3501</v>
      </c>
      <c r="G486" s="225"/>
      <c r="H486" s="67"/>
      <c r="I486" s="229"/>
      <c r="J4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6" s="67"/>
    </row>
    <row r="487" spans="3:11" x14ac:dyDescent="0.3">
      <c r="C487" s="219" t="s">
        <v>1610</v>
      </c>
      <c r="D487" s="221">
        <v>170</v>
      </c>
      <c r="E487" s="213" t="s">
        <v>1093</v>
      </c>
      <c r="F487" s="219">
        <v>3501</v>
      </c>
      <c r="G487" s="225"/>
      <c r="H487" s="67"/>
      <c r="I487" s="229"/>
      <c r="J4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7" s="67"/>
    </row>
    <row r="488" spans="3:11" x14ac:dyDescent="0.3">
      <c r="C488" s="219" t="s">
        <v>1611</v>
      </c>
      <c r="D488" s="221">
        <v>171</v>
      </c>
      <c r="E488" s="213" t="s">
        <v>1093</v>
      </c>
      <c r="F488" s="219">
        <v>3501</v>
      </c>
      <c r="G488" s="225"/>
      <c r="H488" s="67"/>
      <c r="I488" s="229"/>
      <c r="J4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8" s="67"/>
    </row>
    <row r="489" spans="3:11" x14ac:dyDescent="0.3">
      <c r="C489" s="219" t="s">
        <v>1612</v>
      </c>
      <c r="D489" s="221">
        <v>172</v>
      </c>
      <c r="E489" s="213" t="s">
        <v>1093</v>
      </c>
      <c r="F489" s="219">
        <v>3501</v>
      </c>
      <c r="G489" s="225"/>
      <c r="H489" s="67"/>
      <c r="I489" s="229"/>
      <c r="J4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9" s="67"/>
    </row>
    <row r="490" spans="3:11" x14ac:dyDescent="0.3">
      <c r="C490" s="219" t="s">
        <v>1613</v>
      </c>
      <c r="D490" s="221">
        <v>173</v>
      </c>
      <c r="E490" s="213" t="s">
        <v>1093</v>
      </c>
      <c r="F490" s="219">
        <v>3501</v>
      </c>
      <c r="G490" s="225"/>
      <c r="H490" s="67"/>
      <c r="I490" s="229"/>
      <c r="J4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0" s="67"/>
    </row>
    <row r="491" spans="3:11" x14ac:dyDescent="0.3">
      <c r="C491" s="219" t="s">
        <v>1614</v>
      </c>
      <c r="D491" s="221">
        <v>174</v>
      </c>
      <c r="E491" s="213" t="s">
        <v>1093</v>
      </c>
      <c r="F491" s="219">
        <v>3501</v>
      </c>
      <c r="G491" s="225"/>
      <c r="H491" s="67"/>
      <c r="I491" s="229"/>
      <c r="J4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1" s="67"/>
    </row>
    <row r="492" spans="3:11" x14ac:dyDescent="0.3">
      <c r="C492" s="219" t="s">
        <v>1615</v>
      </c>
      <c r="D492" s="221">
        <v>175</v>
      </c>
      <c r="E492" s="213" t="s">
        <v>1093</v>
      </c>
      <c r="F492" s="219">
        <v>3501</v>
      </c>
      <c r="G492" s="225"/>
      <c r="H492" s="67"/>
      <c r="I492" s="229"/>
      <c r="J4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2" s="67"/>
    </row>
    <row r="493" spans="3:11" x14ac:dyDescent="0.3">
      <c r="C493" s="219" t="s">
        <v>1616</v>
      </c>
      <c r="D493" s="221">
        <v>176</v>
      </c>
      <c r="E493" s="213" t="s">
        <v>1093</v>
      </c>
      <c r="F493" s="219">
        <v>3501</v>
      </c>
      <c r="G493" s="225"/>
      <c r="H493" s="67"/>
      <c r="I493" s="229"/>
      <c r="J4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3" s="67"/>
    </row>
    <row r="494" spans="3:11" x14ac:dyDescent="0.3">
      <c r="C494" s="219" t="s">
        <v>1617</v>
      </c>
      <c r="D494" s="221">
        <v>177</v>
      </c>
      <c r="E494" s="213" t="s">
        <v>1093</v>
      </c>
      <c r="F494" s="219">
        <v>3501</v>
      </c>
      <c r="G494" s="225"/>
      <c r="H494" s="67"/>
      <c r="I494" s="229"/>
      <c r="J4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4" s="67"/>
    </row>
    <row r="495" spans="3:11" x14ac:dyDescent="0.3">
      <c r="C495" s="219" t="s">
        <v>1618</v>
      </c>
      <c r="D495" s="221">
        <v>178</v>
      </c>
      <c r="E495" s="213" t="s">
        <v>1093</v>
      </c>
      <c r="F495" s="219">
        <v>3501</v>
      </c>
      <c r="G495" s="225"/>
      <c r="H495" s="67"/>
      <c r="I495" s="229"/>
      <c r="J4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5" s="67"/>
    </row>
    <row r="496" spans="3:11" x14ac:dyDescent="0.3">
      <c r="C496" s="219" t="s">
        <v>1619</v>
      </c>
      <c r="D496" s="221">
        <v>179</v>
      </c>
      <c r="E496" s="213" t="s">
        <v>1093</v>
      </c>
      <c r="F496" s="219">
        <v>3501</v>
      </c>
      <c r="G496" s="225"/>
      <c r="H496" s="67"/>
      <c r="I496" s="229"/>
      <c r="J4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6" s="67"/>
    </row>
    <row r="497" spans="3:11" x14ac:dyDescent="0.3">
      <c r="C497" s="219" t="s">
        <v>1620</v>
      </c>
      <c r="D497" s="221">
        <v>180</v>
      </c>
      <c r="E497" s="213" t="s">
        <v>1093</v>
      </c>
      <c r="F497" s="219">
        <v>3501</v>
      </c>
      <c r="G497" s="225"/>
      <c r="H497" s="67"/>
      <c r="I497" s="229"/>
      <c r="J4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7" s="67"/>
    </row>
    <row r="498" spans="3:11" x14ac:dyDescent="0.3">
      <c r="C498" s="219" t="s">
        <v>1621</v>
      </c>
      <c r="D498" s="221">
        <v>181</v>
      </c>
      <c r="E498" s="213" t="s">
        <v>1093</v>
      </c>
      <c r="F498" s="219">
        <v>3501</v>
      </c>
      <c r="G498" s="225"/>
      <c r="H498" s="67"/>
      <c r="I498" s="229"/>
      <c r="J4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8" s="67"/>
    </row>
    <row r="499" spans="3:11" x14ac:dyDescent="0.3">
      <c r="C499" s="219" t="s">
        <v>1622</v>
      </c>
      <c r="D499" s="221">
        <v>182</v>
      </c>
      <c r="E499" s="213" t="s">
        <v>1093</v>
      </c>
      <c r="F499" s="219">
        <v>3501</v>
      </c>
      <c r="G499" s="225"/>
      <c r="H499" s="67"/>
      <c r="I499" s="229"/>
      <c r="J4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9" s="67"/>
    </row>
    <row r="500" spans="3:11" x14ac:dyDescent="0.3">
      <c r="C500" s="219" t="s">
        <v>1623</v>
      </c>
      <c r="D500" s="221">
        <v>183</v>
      </c>
      <c r="E500" s="213" t="s">
        <v>1093</v>
      </c>
      <c r="F500" s="219">
        <v>3501</v>
      </c>
      <c r="G500" s="225"/>
      <c r="H500" s="67"/>
      <c r="I500" s="229"/>
      <c r="J5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0" s="67"/>
    </row>
    <row r="501" spans="3:11" x14ac:dyDescent="0.3">
      <c r="C501" s="219" t="s">
        <v>1624</v>
      </c>
      <c r="D501" s="221">
        <v>184</v>
      </c>
      <c r="E501" s="213" t="s">
        <v>1093</v>
      </c>
      <c r="F501" s="219">
        <v>3501</v>
      </c>
      <c r="G501" s="225"/>
      <c r="H501" s="67"/>
      <c r="I501" s="229"/>
      <c r="J5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1" s="67"/>
    </row>
    <row r="502" spans="3:11" x14ac:dyDescent="0.3">
      <c r="C502" s="219" t="s">
        <v>1625</v>
      </c>
      <c r="D502" s="221">
        <v>185</v>
      </c>
      <c r="E502" s="213" t="s">
        <v>1093</v>
      </c>
      <c r="F502" s="219">
        <v>3501</v>
      </c>
      <c r="G502" s="225"/>
      <c r="H502" s="67"/>
      <c r="I502" s="229"/>
      <c r="J5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2" s="67"/>
    </row>
    <row r="503" spans="3:11" x14ac:dyDescent="0.3">
      <c r="C503" s="219" t="s">
        <v>1626</v>
      </c>
      <c r="D503" s="221">
        <v>186</v>
      </c>
      <c r="E503" s="213" t="s">
        <v>1093</v>
      </c>
      <c r="F503" s="219">
        <v>3501</v>
      </c>
      <c r="G503" s="225"/>
      <c r="H503" s="67"/>
      <c r="I503" s="229"/>
      <c r="J5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3" s="67"/>
    </row>
    <row r="504" spans="3:11" x14ac:dyDescent="0.3">
      <c r="C504" s="219" t="s">
        <v>1627</v>
      </c>
      <c r="D504" s="221">
        <v>187</v>
      </c>
      <c r="E504" s="213" t="s">
        <v>1093</v>
      </c>
      <c r="F504" s="219">
        <v>3501</v>
      </c>
      <c r="G504" s="225"/>
      <c r="H504" s="67"/>
      <c r="I504" s="229"/>
      <c r="J5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4" s="67"/>
    </row>
    <row r="505" spans="3:11" x14ac:dyDescent="0.3">
      <c r="C505" s="219" t="s">
        <v>1628</v>
      </c>
      <c r="D505" s="221">
        <v>188</v>
      </c>
      <c r="E505" s="213" t="s">
        <v>1093</v>
      </c>
      <c r="F505" s="219">
        <v>3501</v>
      </c>
      <c r="G505" s="225"/>
      <c r="H505" s="67"/>
      <c r="I505" s="229"/>
      <c r="J5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5" s="67"/>
    </row>
    <row r="506" spans="3:11" x14ac:dyDescent="0.3">
      <c r="C506" s="219" t="s">
        <v>1629</v>
      </c>
      <c r="D506" s="221">
        <v>189</v>
      </c>
      <c r="E506" s="213" t="s">
        <v>1093</v>
      </c>
      <c r="F506" s="219">
        <v>3501</v>
      </c>
      <c r="G506" s="225"/>
      <c r="H506" s="67"/>
      <c r="I506" s="229"/>
      <c r="J5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6" s="67"/>
    </row>
    <row r="507" spans="3:11" x14ac:dyDescent="0.3">
      <c r="C507" s="219" t="s">
        <v>1630</v>
      </c>
      <c r="D507" s="221">
        <v>190</v>
      </c>
      <c r="E507" s="213" t="s">
        <v>1093</v>
      </c>
      <c r="F507" s="219">
        <v>3501</v>
      </c>
      <c r="G507" s="225"/>
      <c r="H507" s="67"/>
      <c r="I507" s="229"/>
      <c r="J5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7" s="67"/>
    </row>
    <row r="508" spans="3:11" x14ac:dyDescent="0.3">
      <c r="C508" s="219" t="s">
        <v>1417</v>
      </c>
      <c r="D508" s="221">
        <v>1</v>
      </c>
      <c r="E508" s="212" t="s">
        <v>1416</v>
      </c>
      <c r="F508" s="219">
        <v>4100</v>
      </c>
      <c r="G508" s="225"/>
      <c r="H508" s="67"/>
      <c r="I508" s="229" t="s">
        <v>1756</v>
      </c>
      <c r="J5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08" s="67"/>
    </row>
    <row r="509" spans="3:11" x14ac:dyDescent="0.3">
      <c r="C509" s="219" t="s">
        <v>1418</v>
      </c>
      <c r="D509" s="221">
        <v>2</v>
      </c>
      <c r="E509" s="212" t="s">
        <v>1416</v>
      </c>
      <c r="F509" s="219">
        <v>4100</v>
      </c>
      <c r="G509" s="225"/>
      <c r="H509" s="67"/>
      <c r="I509" s="229" t="s">
        <v>1757</v>
      </c>
      <c r="J5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09" s="67"/>
    </row>
    <row r="510" spans="3:11" x14ac:dyDescent="0.3">
      <c r="C510" s="219" t="s">
        <v>1419</v>
      </c>
      <c r="D510" s="221">
        <v>3</v>
      </c>
      <c r="E510" s="212" t="s">
        <v>1416</v>
      </c>
      <c r="F510" s="219">
        <v>4100</v>
      </c>
      <c r="G510" s="225"/>
      <c r="H510" s="67"/>
      <c r="I510" s="229"/>
      <c r="J5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0" s="67"/>
    </row>
    <row r="511" spans="3:11" x14ac:dyDescent="0.3">
      <c r="C511" s="219" t="s">
        <v>1420</v>
      </c>
      <c r="D511" s="221">
        <v>4</v>
      </c>
      <c r="E511" s="212" t="s">
        <v>1416</v>
      </c>
      <c r="F511" s="219">
        <v>4100</v>
      </c>
      <c r="G511" s="225"/>
      <c r="H511" s="67"/>
      <c r="I511" s="229"/>
      <c r="J5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1" s="67"/>
    </row>
    <row r="512" spans="3:11" x14ac:dyDescent="0.3">
      <c r="C512" s="219" t="s">
        <v>1421</v>
      </c>
      <c r="D512" s="221">
        <v>5</v>
      </c>
      <c r="E512" s="212" t="s">
        <v>1416</v>
      </c>
      <c r="F512" s="219">
        <v>4100</v>
      </c>
      <c r="G512" s="225"/>
      <c r="H512" s="67"/>
      <c r="I512" s="229" t="s">
        <v>1756</v>
      </c>
      <c r="J5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2" s="67"/>
    </row>
    <row r="513" spans="3:11" x14ac:dyDescent="0.3">
      <c r="C513" s="219" t="s">
        <v>1422</v>
      </c>
      <c r="D513" s="221">
        <v>6</v>
      </c>
      <c r="E513" s="212" t="s">
        <v>1416</v>
      </c>
      <c r="F513" s="219">
        <v>4100</v>
      </c>
      <c r="G513" s="225"/>
      <c r="H513" s="67"/>
      <c r="I513" s="229" t="s">
        <v>1757</v>
      </c>
      <c r="J5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3" s="67"/>
    </row>
    <row r="514" spans="3:11" x14ac:dyDescent="0.3">
      <c r="C514" s="219" t="s">
        <v>1423</v>
      </c>
      <c r="D514" s="221">
        <v>7</v>
      </c>
      <c r="E514" s="212" t="s">
        <v>1416</v>
      </c>
      <c r="F514" s="219">
        <v>4100</v>
      </c>
      <c r="G514" s="225"/>
      <c r="H514" s="67"/>
      <c r="I514" s="229"/>
      <c r="J5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4" s="67"/>
    </row>
    <row r="515" spans="3:11" x14ac:dyDescent="0.3">
      <c r="C515" s="219" t="s">
        <v>1424</v>
      </c>
      <c r="D515" s="221">
        <v>8</v>
      </c>
      <c r="E515" s="212" t="s">
        <v>1416</v>
      </c>
      <c r="F515" s="219">
        <v>4100</v>
      </c>
      <c r="G515" s="225"/>
      <c r="H515" s="67"/>
      <c r="I515" s="229"/>
      <c r="J5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5" s="67"/>
    </row>
    <row r="516" spans="3:11" x14ac:dyDescent="0.3">
      <c r="C516" s="219" t="s">
        <v>1425</v>
      </c>
      <c r="D516" s="221">
        <v>9</v>
      </c>
      <c r="E516" s="212" t="s">
        <v>1416</v>
      </c>
      <c r="F516" s="219">
        <v>4100</v>
      </c>
      <c r="G516" s="225"/>
      <c r="H516" s="67"/>
      <c r="I516" s="229"/>
      <c r="J5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6" s="67"/>
    </row>
    <row r="517" spans="3:11" x14ac:dyDescent="0.3">
      <c r="C517" s="219" t="s">
        <v>1426</v>
      </c>
      <c r="D517" s="221">
        <v>10</v>
      </c>
      <c r="E517" s="212" t="s">
        <v>1416</v>
      </c>
      <c r="F517" s="219">
        <v>4100</v>
      </c>
      <c r="G517" s="225"/>
      <c r="H517" s="67"/>
      <c r="I517" s="229"/>
      <c r="J5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7" s="67"/>
    </row>
    <row r="518" spans="3:11" ht="17.25" x14ac:dyDescent="0.35">
      <c r="C518" s="219" t="s">
        <v>2769</v>
      </c>
      <c r="D518" s="221">
        <v>1</v>
      </c>
      <c r="E518" s="223" t="s">
        <v>2768</v>
      </c>
      <c r="F518" s="219">
        <v>4620</v>
      </c>
      <c r="G518" s="225"/>
      <c r="H518" s="67" t="s">
        <v>1109</v>
      </c>
      <c r="I518" s="59" t="s">
        <v>2805</v>
      </c>
      <c r="J5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PREP_COC2_1 - CAUDAL - Caudal minimo alarma fallo valvula drenaje</v>
      </c>
      <c r="K518" s="67"/>
    </row>
    <row r="519" spans="3:11" x14ac:dyDescent="0.3">
      <c r="C519" s="219" t="s">
        <v>2770</v>
      </c>
      <c r="D519" s="221">
        <v>2</v>
      </c>
      <c r="E519" s="223" t="s">
        <v>2768</v>
      </c>
      <c r="F519" s="219">
        <v>4620</v>
      </c>
      <c r="G519" s="225"/>
      <c r="H519" s="67"/>
      <c r="I519" s="229"/>
      <c r="J5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19" s="67"/>
    </row>
    <row r="520" spans="3:11" x14ac:dyDescent="0.3">
      <c r="C520" s="219" t="s">
        <v>2771</v>
      </c>
      <c r="D520" s="221">
        <v>3</v>
      </c>
      <c r="E520" s="223" t="s">
        <v>2768</v>
      </c>
      <c r="F520" s="219">
        <v>4620</v>
      </c>
      <c r="G520" s="225"/>
      <c r="H520" s="67"/>
      <c r="I520" s="229"/>
      <c r="J5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0" s="67"/>
    </row>
    <row r="521" spans="3:11" x14ac:dyDescent="0.3">
      <c r="C521" s="219" t="s">
        <v>2772</v>
      </c>
      <c r="D521" s="221">
        <v>4</v>
      </c>
      <c r="E521" s="223" t="s">
        <v>2768</v>
      </c>
      <c r="F521" s="219">
        <v>4620</v>
      </c>
      <c r="G521" s="225"/>
      <c r="H521" s="67"/>
      <c r="I521" s="229"/>
      <c r="J5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1" s="67"/>
    </row>
    <row r="522" spans="3:11" x14ac:dyDescent="0.3">
      <c r="C522" s="219" t="s">
        <v>2773</v>
      </c>
      <c r="D522" s="221">
        <v>5</v>
      </c>
      <c r="E522" s="223" t="s">
        <v>2768</v>
      </c>
      <c r="F522" s="219">
        <v>4620</v>
      </c>
      <c r="G522" s="225"/>
      <c r="H522" s="67"/>
      <c r="I522" s="229"/>
      <c r="J5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2" s="67"/>
    </row>
    <row r="523" spans="3:11" x14ac:dyDescent="0.3">
      <c r="C523" s="219" t="s">
        <v>2774</v>
      </c>
      <c r="D523" s="221">
        <v>6</v>
      </c>
      <c r="E523" s="223" t="s">
        <v>2768</v>
      </c>
      <c r="F523" s="219">
        <v>4620</v>
      </c>
      <c r="G523" s="225"/>
      <c r="H523" s="67"/>
      <c r="I523" s="229"/>
      <c r="J5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3" s="67"/>
    </row>
    <row r="524" spans="3:11" x14ac:dyDescent="0.3">
      <c r="C524" s="219" t="s">
        <v>2775</v>
      </c>
      <c r="D524" s="221">
        <v>7</v>
      </c>
      <c r="E524" s="223" t="s">
        <v>2768</v>
      </c>
      <c r="F524" s="219">
        <v>4620</v>
      </c>
      <c r="G524" s="225"/>
      <c r="H524" s="67"/>
      <c r="I524" s="229"/>
      <c r="J5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4" s="67"/>
    </row>
    <row r="525" spans="3:11" x14ac:dyDescent="0.3">
      <c r="C525" s="219" t="s">
        <v>2776</v>
      </c>
      <c r="D525" s="221">
        <v>8</v>
      </c>
      <c r="E525" s="223" t="s">
        <v>2768</v>
      </c>
      <c r="F525" s="219">
        <v>4620</v>
      </c>
      <c r="G525" s="225"/>
      <c r="H525" s="67"/>
      <c r="I525" s="229"/>
      <c r="J5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5" s="67"/>
    </row>
    <row r="526" spans="3:11" x14ac:dyDescent="0.3">
      <c r="C526" s="219" t="s">
        <v>2777</v>
      </c>
      <c r="D526" s="221">
        <v>9</v>
      </c>
      <c r="E526" s="223" t="s">
        <v>2768</v>
      </c>
      <c r="F526" s="219">
        <v>4620</v>
      </c>
      <c r="G526" s="225"/>
      <c r="H526" s="67"/>
      <c r="I526" s="229"/>
      <c r="J5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6" s="67"/>
    </row>
    <row r="527" spans="3:11" x14ac:dyDescent="0.3">
      <c r="C527" s="219" t="s">
        <v>2778</v>
      </c>
      <c r="D527" s="221">
        <v>10</v>
      </c>
      <c r="E527" s="223" t="s">
        <v>2768</v>
      </c>
      <c r="F527" s="219">
        <v>4620</v>
      </c>
      <c r="G527" s="225"/>
      <c r="H527" s="67"/>
      <c r="I527" s="229"/>
      <c r="J5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7" s="67"/>
    </row>
  </sheetData>
  <mergeCells count="2">
    <mergeCell ref="B2:C2"/>
    <mergeCell ref="L1:L6"/>
  </mergeCells>
  <phoneticPr fontId="23" type="noConversion"/>
  <conditionalFormatting sqref="K10:K527">
    <cfRule type="cellIs" dxfId="167" priority="6" operator="equal">
      <formula>"X"</formula>
    </cfRule>
  </conditionalFormatting>
  <conditionalFormatting sqref="C10:D527 F10:F527 J10:J527">
    <cfRule type="cellIs" dxfId="166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527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527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C10:F527 J10:J527" xr:uid="{039842ED-39CE-49D0-9056-0729B3594A0A}"/>
    <dataValidation type="list" allowBlank="1" showInputMessage="1" showErrorMessage="1" promptTitle="Tipo de producto" prompt="Selecciona de la lista desplegable" sqref="G10:G527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184"/>
  <sheetViews>
    <sheetView showGridLines="0" zoomScale="85" zoomScaleNormal="85" workbookViewId="0">
      <pane ySplit="9" topLeftCell="A155" activePane="bottomLeft" state="frozen"/>
      <selection pane="bottomLeft" activeCell="I184" sqref="I18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46"/>
      <c r="J1" s="202"/>
      <c r="K1" s="202"/>
      <c r="L1" s="261"/>
    </row>
    <row r="2" spans="1:12" ht="16.5" customHeight="1" x14ac:dyDescent="0.35">
      <c r="A2" s="48"/>
      <c r="B2" s="262">
        <f>PORTADA!D46</f>
        <v>26000</v>
      </c>
      <c r="C2" s="262"/>
      <c r="D2" s="87"/>
      <c r="E2" s="202"/>
      <c r="F2" s="202"/>
      <c r="G2" s="202"/>
      <c r="H2" s="60"/>
      <c r="I2" s="51"/>
      <c r="J2" s="202"/>
      <c r="K2" s="202"/>
      <c r="L2" s="261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48"/>
      <c r="J3" s="202"/>
      <c r="K3" s="202"/>
      <c r="L3" s="261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48"/>
      <c r="J4" s="202"/>
      <c r="K4" s="202"/>
      <c r="L4" s="261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46"/>
      <c r="J5" s="202"/>
      <c r="K5" s="202"/>
      <c r="L5" s="261"/>
    </row>
    <row r="6" spans="1:12" ht="18" customHeight="1" x14ac:dyDescent="0.35">
      <c r="A6" s="46"/>
      <c r="B6" s="53" t="s">
        <v>1098</v>
      </c>
      <c r="C6" s="51"/>
      <c r="D6" s="87"/>
      <c r="E6" s="51"/>
      <c r="F6" s="51"/>
      <c r="G6" s="51"/>
      <c r="H6" s="60"/>
      <c r="I6" s="51"/>
      <c r="J6" s="202"/>
      <c r="K6" s="202"/>
      <c r="L6" s="261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44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1982</v>
      </c>
      <c r="D10" s="221">
        <v>1</v>
      </c>
      <c r="E10" s="223" t="s">
        <v>1102</v>
      </c>
      <c r="F10" s="219">
        <v>3002</v>
      </c>
      <c r="G10" s="226"/>
      <c r="H10" s="67"/>
      <c r="I10" s="242"/>
      <c r="J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7"/>
    </row>
    <row r="11" spans="1:12" x14ac:dyDescent="0.3">
      <c r="C11" s="219" t="s">
        <v>1983</v>
      </c>
      <c r="D11" s="221">
        <v>2</v>
      </c>
      <c r="E11" s="223" t="s">
        <v>1102</v>
      </c>
      <c r="F11" s="219">
        <v>3002</v>
      </c>
      <c r="G11" s="226"/>
      <c r="H11" s="67"/>
      <c r="I11" s="242"/>
      <c r="J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7"/>
    </row>
    <row r="12" spans="1:12" x14ac:dyDescent="0.3">
      <c r="C12" s="219" t="s">
        <v>1984</v>
      </c>
      <c r="D12" s="221">
        <v>3</v>
      </c>
      <c r="E12" s="223" t="s">
        <v>1102</v>
      </c>
      <c r="F12" s="219">
        <v>3002</v>
      </c>
      <c r="G12" s="226"/>
      <c r="H12" s="67"/>
      <c r="I12" s="242"/>
      <c r="J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7"/>
    </row>
    <row r="13" spans="1:12" x14ac:dyDescent="0.3">
      <c r="C13" s="219" t="s">
        <v>1985</v>
      </c>
      <c r="D13" s="221">
        <v>4</v>
      </c>
      <c r="E13" s="223" t="s">
        <v>1102</v>
      </c>
      <c r="F13" s="219">
        <v>3002</v>
      </c>
      <c r="G13" s="226"/>
      <c r="H13" s="67"/>
      <c r="I13" s="242"/>
      <c r="J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7"/>
    </row>
    <row r="14" spans="1:12" x14ac:dyDescent="0.3">
      <c r="C14" s="219" t="s">
        <v>1986</v>
      </c>
      <c r="D14" s="221">
        <v>5</v>
      </c>
      <c r="E14" s="223" t="s">
        <v>1102</v>
      </c>
      <c r="F14" s="219">
        <v>3002</v>
      </c>
      <c r="G14" s="226"/>
      <c r="H14" s="67"/>
      <c r="I14" s="242"/>
      <c r="J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7"/>
    </row>
    <row r="15" spans="1:12" x14ac:dyDescent="0.3">
      <c r="C15" s="219" t="s">
        <v>1987</v>
      </c>
      <c r="D15" s="221">
        <v>6</v>
      </c>
      <c r="E15" s="223" t="s">
        <v>1102</v>
      </c>
      <c r="F15" s="219">
        <v>3002</v>
      </c>
      <c r="G15" s="226"/>
      <c r="H15" s="67"/>
      <c r="I15" s="242"/>
      <c r="J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7"/>
    </row>
    <row r="16" spans="1:12" x14ac:dyDescent="0.3">
      <c r="C16" s="219" t="s">
        <v>1988</v>
      </c>
      <c r="D16" s="221">
        <v>7</v>
      </c>
      <c r="E16" s="223" t="s">
        <v>1102</v>
      </c>
      <c r="F16" s="219">
        <v>3002</v>
      </c>
      <c r="G16" s="226"/>
      <c r="H16" s="67"/>
      <c r="I16" s="242"/>
      <c r="J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7"/>
    </row>
    <row r="17" spans="3:11" x14ac:dyDescent="0.3">
      <c r="C17" s="219" t="s">
        <v>1989</v>
      </c>
      <c r="D17" s="221">
        <v>8</v>
      </c>
      <c r="E17" s="223" t="s">
        <v>1102</v>
      </c>
      <c r="F17" s="219">
        <v>3002</v>
      </c>
      <c r="G17" s="226"/>
      <c r="H17" s="67"/>
      <c r="I17" s="242"/>
      <c r="J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7"/>
    </row>
    <row r="18" spans="3:11" x14ac:dyDescent="0.3">
      <c r="C18" s="219" t="s">
        <v>1990</v>
      </c>
      <c r="D18" s="221">
        <v>9</v>
      </c>
      <c r="E18" s="223" t="s">
        <v>1102</v>
      </c>
      <c r="F18" s="219">
        <v>3002</v>
      </c>
      <c r="G18" s="226"/>
      <c r="H18" s="67"/>
      <c r="I18" s="242"/>
      <c r="J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7"/>
    </row>
    <row r="19" spans="3:11" x14ac:dyDescent="0.3">
      <c r="C19" s="219" t="s">
        <v>1991</v>
      </c>
      <c r="D19" s="221">
        <v>10</v>
      </c>
      <c r="E19" s="223" t="s">
        <v>1102</v>
      </c>
      <c r="F19" s="219">
        <v>3002</v>
      </c>
      <c r="G19" s="226"/>
      <c r="H19" s="67"/>
      <c r="I19" s="242"/>
      <c r="J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7"/>
    </row>
    <row r="20" spans="3:11" x14ac:dyDescent="0.3">
      <c r="C20" s="219" t="s">
        <v>1992</v>
      </c>
      <c r="D20" s="221">
        <v>11</v>
      </c>
      <c r="E20" s="223" t="s">
        <v>1102</v>
      </c>
      <c r="F20" s="219">
        <v>3002</v>
      </c>
      <c r="G20" s="226"/>
      <c r="H20" s="67"/>
      <c r="I20" s="242"/>
      <c r="J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7"/>
    </row>
    <row r="21" spans="3:11" x14ac:dyDescent="0.3">
      <c r="C21" s="219" t="s">
        <v>1993</v>
      </c>
      <c r="D21" s="221">
        <v>12</v>
      </c>
      <c r="E21" s="223" t="s">
        <v>1102</v>
      </c>
      <c r="F21" s="219">
        <v>3002</v>
      </c>
      <c r="G21" s="226"/>
      <c r="H21" s="67"/>
      <c r="I21" s="242"/>
      <c r="J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7"/>
    </row>
    <row r="22" spans="3:11" x14ac:dyDescent="0.3">
      <c r="C22" s="219" t="s">
        <v>1994</v>
      </c>
      <c r="D22" s="221">
        <v>13</v>
      </c>
      <c r="E22" s="223" t="s">
        <v>1102</v>
      </c>
      <c r="F22" s="219">
        <v>3002</v>
      </c>
      <c r="G22" s="226"/>
      <c r="H22" s="67"/>
      <c r="I22" s="242"/>
      <c r="J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7"/>
    </row>
    <row r="23" spans="3:11" x14ac:dyDescent="0.3">
      <c r="C23" s="219" t="s">
        <v>1995</v>
      </c>
      <c r="D23" s="221">
        <v>14</v>
      </c>
      <c r="E23" s="223" t="s">
        <v>1102</v>
      </c>
      <c r="F23" s="219">
        <v>3002</v>
      </c>
      <c r="G23" s="226"/>
      <c r="H23" s="67"/>
      <c r="I23" s="242"/>
      <c r="J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7"/>
    </row>
    <row r="24" spans="3:11" x14ac:dyDescent="0.3">
      <c r="C24" s="219" t="s">
        <v>1996</v>
      </c>
      <c r="D24" s="221">
        <v>15</v>
      </c>
      <c r="E24" s="223" t="s">
        <v>1102</v>
      </c>
      <c r="F24" s="219">
        <v>3002</v>
      </c>
      <c r="G24" s="226"/>
      <c r="H24" s="67"/>
      <c r="I24" s="242"/>
      <c r="J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7"/>
    </row>
    <row r="25" spans="3:11" x14ac:dyDescent="0.3">
      <c r="C25" s="219" t="s">
        <v>1997</v>
      </c>
      <c r="D25" s="221">
        <v>16</v>
      </c>
      <c r="E25" s="223" t="s">
        <v>1102</v>
      </c>
      <c r="F25" s="219">
        <v>3002</v>
      </c>
      <c r="G25" s="226"/>
      <c r="H25" s="67"/>
      <c r="I25" s="242"/>
      <c r="J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7"/>
    </row>
    <row r="26" spans="3:11" x14ac:dyDescent="0.3">
      <c r="C26" s="219" t="s">
        <v>1998</v>
      </c>
      <c r="D26" s="221">
        <v>17</v>
      </c>
      <c r="E26" s="223" t="s">
        <v>1102</v>
      </c>
      <c r="F26" s="219">
        <v>3002</v>
      </c>
      <c r="G26" s="226"/>
      <c r="H26" s="67"/>
      <c r="I26" s="242"/>
      <c r="J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7"/>
    </row>
    <row r="27" spans="3:11" x14ac:dyDescent="0.3">
      <c r="C27" s="219" t="s">
        <v>1999</v>
      </c>
      <c r="D27" s="221">
        <v>18</v>
      </c>
      <c r="E27" s="223" t="s">
        <v>1102</v>
      </c>
      <c r="F27" s="219">
        <v>3002</v>
      </c>
      <c r="G27" s="226"/>
      <c r="H27" s="67"/>
      <c r="I27" s="242"/>
      <c r="J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7"/>
    </row>
    <row r="28" spans="3:11" x14ac:dyDescent="0.3">
      <c r="C28" s="219" t="s">
        <v>2000</v>
      </c>
      <c r="D28" s="221">
        <v>19</v>
      </c>
      <c r="E28" s="223" t="s">
        <v>1102</v>
      </c>
      <c r="F28" s="219">
        <v>3002</v>
      </c>
      <c r="G28" s="226"/>
      <c r="H28" s="67"/>
      <c r="I28" s="242"/>
      <c r="J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7"/>
    </row>
    <row r="29" spans="3:11" x14ac:dyDescent="0.3">
      <c r="C29" s="219" t="s">
        <v>2001</v>
      </c>
      <c r="D29" s="221">
        <v>20</v>
      </c>
      <c r="E29" s="223" t="s">
        <v>1102</v>
      </c>
      <c r="F29" s="219">
        <v>3002</v>
      </c>
      <c r="G29" s="226"/>
      <c r="H29" s="67"/>
      <c r="I29" s="242"/>
      <c r="J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7"/>
    </row>
    <row r="30" spans="3:11" x14ac:dyDescent="0.3">
      <c r="C30" s="219" t="s">
        <v>2113</v>
      </c>
      <c r="D30" s="221">
        <v>21</v>
      </c>
      <c r="E30" s="223" t="s">
        <v>1102</v>
      </c>
      <c r="F30" s="219">
        <v>3002</v>
      </c>
      <c r="G30" s="226"/>
      <c r="H30" s="67"/>
      <c r="I30" s="242"/>
      <c r="J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0" s="67"/>
    </row>
    <row r="31" spans="3:11" x14ac:dyDescent="0.3">
      <c r="C31" s="219" t="s">
        <v>2114</v>
      </c>
      <c r="D31" s="221">
        <v>22</v>
      </c>
      <c r="E31" s="223" t="s">
        <v>1102</v>
      </c>
      <c r="F31" s="219">
        <v>3002</v>
      </c>
      <c r="G31" s="226"/>
      <c r="H31" s="67"/>
      <c r="I31" s="242"/>
      <c r="J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1" s="67"/>
    </row>
    <row r="32" spans="3:11" x14ac:dyDescent="0.3">
      <c r="C32" s="219" t="s">
        <v>1309</v>
      </c>
      <c r="D32" s="221">
        <v>1</v>
      </c>
      <c r="E32" s="253" t="s">
        <v>233</v>
      </c>
      <c r="F32" s="219">
        <v>3101</v>
      </c>
      <c r="G32" s="226"/>
      <c r="H32" s="67" t="s">
        <v>236</v>
      </c>
      <c r="I32" s="242" t="s">
        <v>2510</v>
      </c>
      <c r="J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- Tiempo maximo de alarma 1</v>
      </c>
      <c r="K32" s="67"/>
    </row>
    <row r="33" spans="3:11" x14ac:dyDescent="0.3">
      <c r="C33" s="219" t="s">
        <v>1310</v>
      </c>
      <c r="D33" s="221">
        <v>2</v>
      </c>
      <c r="E33" s="253" t="s">
        <v>233</v>
      </c>
      <c r="F33" s="219">
        <v>3101</v>
      </c>
      <c r="G33" s="226"/>
      <c r="H33" s="67"/>
      <c r="I33" s="242" t="s">
        <v>2511</v>
      </c>
      <c r="J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2</v>
      </c>
      <c r="K33" s="67"/>
    </row>
    <row r="34" spans="3:11" x14ac:dyDescent="0.3">
      <c r="C34" s="219" t="s">
        <v>1311</v>
      </c>
      <c r="D34" s="221">
        <v>3</v>
      </c>
      <c r="E34" s="253" t="s">
        <v>233</v>
      </c>
      <c r="F34" s="219">
        <v>3101</v>
      </c>
      <c r="G34" s="226"/>
      <c r="H34" s="67"/>
      <c r="I34" s="242" t="s">
        <v>2512</v>
      </c>
      <c r="J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3</v>
      </c>
      <c r="K34" s="67"/>
    </row>
    <row r="35" spans="3:11" x14ac:dyDescent="0.3">
      <c r="C35" s="219" t="s">
        <v>1312</v>
      </c>
      <c r="D35" s="221">
        <v>4</v>
      </c>
      <c r="E35" s="253" t="s">
        <v>233</v>
      </c>
      <c r="F35" s="219">
        <v>3101</v>
      </c>
      <c r="G35" s="226"/>
      <c r="H35" s="67"/>
      <c r="I35" s="242" t="s">
        <v>2513</v>
      </c>
      <c r="J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4</v>
      </c>
      <c r="K35" s="67"/>
    </row>
    <row r="36" spans="3:11" x14ac:dyDescent="0.3">
      <c r="C36" s="219" t="s">
        <v>1313</v>
      </c>
      <c r="D36" s="221">
        <v>5</v>
      </c>
      <c r="E36" s="253" t="s">
        <v>233</v>
      </c>
      <c r="F36" s="219">
        <v>3101</v>
      </c>
      <c r="G36" s="226"/>
      <c r="H36" s="67"/>
      <c r="I36" s="242" t="s">
        <v>2514</v>
      </c>
      <c r="J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5</v>
      </c>
      <c r="K36" s="67"/>
    </row>
    <row r="37" spans="3:11" x14ac:dyDescent="0.3">
      <c r="C37" s="219" t="s">
        <v>1314</v>
      </c>
      <c r="D37" s="221">
        <v>6</v>
      </c>
      <c r="E37" s="253" t="s">
        <v>233</v>
      </c>
      <c r="F37" s="219">
        <v>3101</v>
      </c>
      <c r="G37" s="226"/>
      <c r="H37" s="67"/>
      <c r="I37" s="242" t="s">
        <v>2515</v>
      </c>
      <c r="J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6</v>
      </c>
      <c r="K37" s="67"/>
    </row>
    <row r="38" spans="3:11" x14ac:dyDescent="0.3">
      <c r="C38" s="219" t="s">
        <v>1315</v>
      </c>
      <c r="D38" s="221">
        <v>7</v>
      </c>
      <c r="E38" s="253" t="s">
        <v>233</v>
      </c>
      <c r="F38" s="219">
        <v>3101</v>
      </c>
      <c r="G38" s="226"/>
      <c r="H38" s="67"/>
      <c r="I38" s="242" t="s">
        <v>2516</v>
      </c>
      <c r="J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7</v>
      </c>
      <c r="K38" s="67"/>
    </row>
    <row r="39" spans="3:11" x14ac:dyDescent="0.3">
      <c r="C39" s="219" t="s">
        <v>1316</v>
      </c>
      <c r="D39" s="221">
        <v>8</v>
      </c>
      <c r="E39" s="253" t="s">
        <v>233</v>
      </c>
      <c r="F39" s="219">
        <v>3101</v>
      </c>
      <c r="G39" s="226"/>
      <c r="H39" s="67"/>
      <c r="I39" s="242" t="s">
        <v>2517</v>
      </c>
      <c r="J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8</v>
      </c>
      <c r="K39" s="67"/>
    </row>
    <row r="40" spans="3:11" x14ac:dyDescent="0.3">
      <c r="C40" s="219" t="s">
        <v>1317</v>
      </c>
      <c r="D40" s="221">
        <v>9</v>
      </c>
      <c r="E40" s="253" t="s">
        <v>233</v>
      </c>
      <c r="F40" s="219">
        <v>3101</v>
      </c>
      <c r="G40" s="226"/>
      <c r="H40" s="67"/>
      <c r="I40" s="242" t="s">
        <v>2518</v>
      </c>
      <c r="J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9</v>
      </c>
      <c r="K40" s="67"/>
    </row>
    <row r="41" spans="3:11" x14ac:dyDescent="0.3">
      <c r="C41" s="219" t="s">
        <v>1318</v>
      </c>
      <c r="D41" s="221">
        <v>10</v>
      </c>
      <c r="E41" s="253" t="s">
        <v>233</v>
      </c>
      <c r="F41" s="219">
        <v>3101</v>
      </c>
      <c r="G41" s="226"/>
      <c r="H41" s="67"/>
      <c r="I41" s="242" t="s">
        <v>2519</v>
      </c>
      <c r="J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10</v>
      </c>
      <c r="K41" s="67"/>
    </row>
    <row r="42" spans="3:11" x14ac:dyDescent="0.3">
      <c r="C42" s="219" t="s">
        <v>2013</v>
      </c>
      <c r="D42" s="221">
        <v>11</v>
      </c>
      <c r="E42" s="253" t="s">
        <v>233</v>
      </c>
      <c r="F42" s="219">
        <v>3101</v>
      </c>
      <c r="G42" s="226"/>
      <c r="H42" s="67"/>
      <c r="I42" s="242" t="s">
        <v>2520</v>
      </c>
      <c r="J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11</v>
      </c>
      <c r="K42" s="67"/>
    </row>
    <row r="43" spans="3:11" x14ac:dyDescent="0.3">
      <c r="C43" s="219" t="s">
        <v>2014</v>
      </c>
      <c r="D43" s="221">
        <v>12</v>
      </c>
      <c r="E43" s="253" t="s">
        <v>233</v>
      </c>
      <c r="F43" s="219">
        <v>3101</v>
      </c>
      <c r="G43" s="226"/>
      <c r="H43" s="67"/>
      <c r="I43" s="242" t="s">
        <v>2521</v>
      </c>
      <c r="J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12</v>
      </c>
      <c r="K43" s="67"/>
    </row>
    <row r="44" spans="3:11" x14ac:dyDescent="0.3">
      <c r="C44" s="219" t="s">
        <v>2015</v>
      </c>
      <c r="D44" s="221">
        <v>13</v>
      </c>
      <c r="E44" s="253" t="s">
        <v>233</v>
      </c>
      <c r="F44" s="219">
        <v>3101</v>
      </c>
      <c r="G44" s="226"/>
      <c r="H44" s="67"/>
      <c r="I44" s="242" t="s">
        <v>2522</v>
      </c>
      <c r="J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13</v>
      </c>
      <c r="K44" s="67"/>
    </row>
    <row r="45" spans="3:11" x14ac:dyDescent="0.3">
      <c r="C45" s="219" t="s">
        <v>2016</v>
      </c>
      <c r="D45" s="221">
        <v>14</v>
      </c>
      <c r="E45" s="253" t="s">
        <v>233</v>
      </c>
      <c r="F45" s="219">
        <v>3101</v>
      </c>
      <c r="G45" s="226"/>
      <c r="H45" s="67"/>
      <c r="I45" s="242" t="s">
        <v>2523</v>
      </c>
      <c r="J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14</v>
      </c>
      <c r="K45" s="67"/>
    </row>
    <row r="46" spans="3:11" x14ac:dyDescent="0.3">
      <c r="C46" s="219" t="s">
        <v>2017</v>
      </c>
      <c r="D46" s="221">
        <v>15</v>
      </c>
      <c r="E46" s="253" t="s">
        <v>233</v>
      </c>
      <c r="F46" s="219">
        <v>3101</v>
      </c>
      <c r="G46" s="226"/>
      <c r="H46" s="67"/>
      <c r="I46" s="242" t="s">
        <v>2524</v>
      </c>
      <c r="J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15</v>
      </c>
      <c r="K46" s="67"/>
    </row>
    <row r="47" spans="3:11" x14ac:dyDescent="0.3">
      <c r="C47" s="219" t="s">
        <v>2018</v>
      </c>
      <c r="D47" s="221">
        <v>16</v>
      </c>
      <c r="E47" s="253" t="s">
        <v>233</v>
      </c>
      <c r="F47" s="219">
        <v>3101</v>
      </c>
      <c r="G47" s="226"/>
      <c r="H47" s="67"/>
      <c r="I47" s="242" t="s">
        <v>2525</v>
      </c>
      <c r="J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16</v>
      </c>
      <c r="K47" s="67"/>
    </row>
    <row r="48" spans="3:11" x14ac:dyDescent="0.3">
      <c r="C48" s="219" t="s">
        <v>2019</v>
      </c>
      <c r="D48" s="221">
        <v>17</v>
      </c>
      <c r="E48" s="253" t="s">
        <v>233</v>
      </c>
      <c r="F48" s="219">
        <v>3101</v>
      </c>
      <c r="G48" s="226"/>
      <c r="H48" s="67"/>
      <c r="I48" s="242" t="s">
        <v>2526</v>
      </c>
      <c r="J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17</v>
      </c>
      <c r="K48" s="67"/>
    </row>
    <row r="49" spans="3:11" x14ac:dyDescent="0.3">
      <c r="C49" s="219" t="s">
        <v>2020</v>
      </c>
      <c r="D49" s="221">
        <v>18</v>
      </c>
      <c r="E49" s="253" t="s">
        <v>233</v>
      </c>
      <c r="F49" s="219">
        <v>3101</v>
      </c>
      <c r="G49" s="226"/>
      <c r="H49" s="67"/>
      <c r="I49" s="242"/>
      <c r="J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9" s="67"/>
    </row>
    <row r="50" spans="3:11" x14ac:dyDescent="0.3">
      <c r="C50" s="219" t="s">
        <v>2021</v>
      </c>
      <c r="D50" s="221">
        <v>19</v>
      </c>
      <c r="E50" s="253" t="s">
        <v>233</v>
      </c>
      <c r="F50" s="219">
        <v>3101</v>
      </c>
      <c r="G50" s="226"/>
      <c r="H50" s="67"/>
      <c r="I50" s="242"/>
      <c r="J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0" s="67"/>
    </row>
    <row r="51" spans="3:11" x14ac:dyDescent="0.3">
      <c r="C51" s="219" t="s">
        <v>2022</v>
      </c>
      <c r="D51" s="221">
        <v>20</v>
      </c>
      <c r="E51" s="253" t="s">
        <v>233</v>
      </c>
      <c r="F51" s="219">
        <v>3101</v>
      </c>
      <c r="G51" s="226"/>
      <c r="H51" s="67"/>
      <c r="I51" s="242"/>
      <c r="J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1" s="67"/>
    </row>
    <row r="52" spans="3:11" x14ac:dyDescent="0.3">
      <c r="C52" s="219" t="s">
        <v>2023</v>
      </c>
      <c r="D52" s="221">
        <v>21</v>
      </c>
      <c r="E52" s="253" t="s">
        <v>233</v>
      </c>
      <c r="F52" s="219">
        <v>3101</v>
      </c>
      <c r="G52" s="226"/>
      <c r="H52" s="67"/>
      <c r="I52" s="242"/>
      <c r="J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2" s="67"/>
    </row>
    <row r="53" spans="3:11" x14ac:dyDescent="0.3">
      <c r="C53" s="219" t="s">
        <v>2024</v>
      </c>
      <c r="D53" s="221">
        <v>22</v>
      </c>
      <c r="E53" s="253" t="s">
        <v>233</v>
      </c>
      <c r="F53" s="219">
        <v>3101</v>
      </c>
      <c r="G53" s="226"/>
      <c r="H53" s="67"/>
      <c r="I53" s="242"/>
      <c r="J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3" s="67"/>
    </row>
    <row r="54" spans="3:11" x14ac:dyDescent="0.3">
      <c r="C54" s="219" t="s">
        <v>2025</v>
      </c>
      <c r="D54" s="221">
        <v>23</v>
      </c>
      <c r="E54" s="253" t="s">
        <v>233</v>
      </c>
      <c r="F54" s="219">
        <v>3101</v>
      </c>
      <c r="G54" s="226"/>
      <c r="H54" s="67"/>
      <c r="I54" s="242"/>
      <c r="J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4" s="67"/>
    </row>
    <row r="55" spans="3:11" x14ac:dyDescent="0.3">
      <c r="C55" s="219" t="s">
        <v>2026</v>
      </c>
      <c r="D55" s="221">
        <v>24</v>
      </c>
      <c r="E55" s="253" t="s">
        <v>233</v>
      </c>
      <c r="F55" s="219">
        <v>3101</v>
      </c>
      <c r="G55" s="226"/>
      <c r="H55" s="67"/>
      <c r="I55" s="242"/>
      <c r="J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5" s="67"/>
    </row>
    <row r="56" spans="3:11" x14ac:dyDescent="0.3">
      <c r="C56" s="219" t="s">
        <v>2027</v>
      </c>
      <c r="D56" s="221">
        <v>25</v>
      </c>
      <c r="E56" s="253" t="s">
        <v>233</v>
      </c>
      <c r="F56" s="219">
        <v>3101</v>
      </c>
      <c r="G56" s="226"/>
      <c r="H56" s="67"/>
      <c r="I56" s="242"/>
      <c r="J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6" s="67"/>
    </row>
    <row r="57" spans="3:11" x14ac:dyDescent="0.3">
      <c r="C57" s="219" t="s">
        <v>2028</v>
      </c>
      <c r="D57" s="221">
        <v>26</v>
      </c>
      <c r="E57" s="253" t="s">
        <v>233</v>
      </c>
      <c r="F57" s="219">
        <v>3101</v>
      </c>
      <c r="G57" s="226"/>
      <c r="H57" s="67"/>
      <c r="I57" s="242"/>
      <c r="J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7" s="67"/>
    </row>
    <row r="58" spans="3:11" x14ac:dyDescent="0.3">
      <c r="C58" s="219" t="s">
        <v>2029</v>
      </c>
      <c r="D58" s="221">
        <v>27</v>
      </c>
      <c r="E58" s="253" t="s">
        <v>233</v>
      </c>
      <c r="F58" s="219">
        <v>3101</v>
      </c>
      <c r="G58" s="226"/>
      <c r="H58" s="67"/>
      <c r="I58" s="242"/>
      <c r="J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8" s="67"/>
    </row>
    <row r="59" spans="3:11" x14ac:dyDescent="0.3">
      <c r="C59" s="219" t="s">
        <v>2030</v>
      </c>
      <c r="D59" s="221">
        <v>28</v>
      </c>
      <c r="E59" s="253" t="s">
        <v>233</v>
      </c>
      <c r="F59" s="219">
        <v>3101</v>
      </c>
      <c r="G59" s="226"/>
      <c r="H59" s="67"/>
      <c r="I59" s="242"/>
      <c r="J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9" s="67"/>
    </row>
    <row r="60" spans="3:11" x14ac:dyDescent="0.3">
      <c r="C60" s="219" t="s">
        <v>2031</v>
      </c>
      <c r="D60" s="221">
        <v>29</v>
      </c>
      <c r="E60" s="253" t="s">
        <v>233</v>
      </c>
      <c r="F60" s="219">
        <v>3101</v>
      </c>
      <c r="G60" s="226"/>
      <c r="H60" s="67"/>
      <c r="I60" s="242"/>
      <c r="J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0" s="67"/>
    </row>
    <row r="61" spans="3:11" x14ac:dyDescent="0.3">
      <c r="C61" s="219" t="s">
        <v>2032</v>
      </c>
      <c r="D61" s="221">
        <v>30</v>
      </c>
      <c r="E61" s="253" t="s">
        <v>233</v>
      </c>
      <c r="F61" s="219">
        <v>3101</v>
      </c>
      <c r="G61" s="226"/>
      <c r="H61" s="67"/>
      <c r="I61" s="242"/>
      <c r="J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1" s="67"/>
    </row>
    <row r="62" spans="3:11" x14ac:dyDescent="0.3">
      <c r="C62" s="219" t="s">
        <v>2033</v>
      </c>
      <c r="D62" s="221">
        <v>31</v>
      </c>
      <c r="E62" s="253" t="s">
        <v>233</v>
      </c>
      <c r="F62" s="219">
        <v>3101</v>
      </c>
      <c r="G62" s="226"/>
      <c r="H62" s="67"/>
      <c r="I62" s="242"/>
      <c r="J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2" s="67"/>
    </row>
    <row r="63" spans="3:11" x14ac:dyDescent="0.3">
      <c r="C63" s="219" t="s">
        <v>2034</v>
      </c>
      <c r="D63" s="221">
        <v>32</v>
      </c>
      <c r="E63" s="253" t="s">
        <v>233</v>
      </c>
      <c r="F63" s="219">
        <v>3101</v>
      </c>
      <c r="G63" s="226"/>
      <c r="H63" s="67"/>
      <c r="I63" s="242"/>
      <c r="J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3" s="67"/>
    </row>
    <row r="64" spans="3:11" x14ac:dyDescent="0.3">
      <c r="C64" s="219" t="s">
        <v>2035</v>
      </c>
      <c r="D64" s="221">
        <v>33</v>
      </c>
      <c r="E64" s="253" t="s">
        <v>233</v>
      </c>
      <c r="F64" s="219">
        <v>3101</v>
      </c>
      <c r="G64" s="226"/>
      <c r="H64" s="67"/>
      <c r="I64" s="242"/>
      <c r="J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4" s="67"/>
    </row>
    <row r="65" spans="3:11" x14ac:dyDescent="0.3">
      <c r="C65" s="219" t="s">
        <v>2036</v>
      </c>
      <c r="D65" s="221">
        <v>34</v>
      </c>
      <c r="E65" s="253" t="s">
        <v>233</v>
      </c>
      <c r="F65" s="219">
        <v>3101</v>
      </c>
      <c r="G65" s="226"/>
      <c r="H65" s="67"/>
      <c r="I65" s="242"/>
      <c r="J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5" s="67"/>
    </row>
    <row r="66" spans="3:11" x14ac:dyDescent="0.3">
      <c r="C66" s="219" t="s">
        <v>2037</v>
      </c>
      <c r="D66" s="221">
        <v>35</v>
      </c>
      <c r="E66" s="253" t="s">
        <v>233</v>
      </c>
      <c r="F66" s="219">
        <v>3101</v>
      </c>
      <c r="G66" s="226"/>
      <c r="H66" s="67"/>
      <c r="I66" s="242"/>
      <c r="J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6" s="67"/>
    </row>
    <row r="67" spans="3:11" x14ac:dyDescent="0.3">
      <c r="C67" s="219" t="s">
        <v>1319</v>
      </c>
      <c r="D67" s="221">
        <v>1</v>
      </c>
      <c r="E67" s="254" t="s">
        <v>238</v>
      </c>
      <c r="F67" s="219">
        <v>3111</v>
      </c>
      <c r="G67" s="226"/>
      <c r="H67" s="67"/>
      <c r="I67" s="242" t="s">
        <v>1758</v>
      </c>
      <c r="J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67" s="67"/>
    </row>
    <row r="68" spans="3:11" x14ac:dyDescent="0.3">
      <c r="C68" s="219" t="s">
        <v>1320</v>
      </c>
      <c r="D68" s="221">
        <v>2</v>
      </c>
      <c r="E68" s="254" t="s">
        <v>238</v>
      </c>
      <c r="F68" s="219">
        <v>3111</v>
      </c>
      <c r="G68" s="226"/>
      <c r="H68" s="67"/>
      <c r="I68" s="242"/>
      <c r="J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8" s="67"/>
    </row>
    <row r="69" spans="3:11" x14ac:dyDescent="0.3">
      <c r="C69" s="219" t="s">
        <v>1321</v>
      </c>
      <c r="D69" s="221">
        <v>3</v>
      </c>
      <c r="E69" s="254" t="s">
        <v>238</v>
      </c>
      <c r="F69" s="219">
        <v>3111</v>
      </c>
      <c r="G69" s="226"/>
      <c r="H69" s="67"/>
      <c r="I69" s="242"/>
      <c r="J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9" s="67"/>
    </row>
    <row r="70" spans="3:11" x14ac:dyDescent="0.3">
      <c r="C70" s="219" t="s">
        <v>1322</v>
      </c>
      <c r="D70" s="221">
        <v>4</v>
      </c>
      <c r="E70" s="254" t="s">
        <v>238</v>
      </c>
      <c r="F70" s="219">
        <v>3111</v>
      </c>
      <c r="G70" s="226"/>
      <c r="H70" s="67"/>
      <c r="I70" s="242"/>
      <c r="J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0" s="67"/>
    </row>
    <row r="71" spans="3:11" x14ac:dyDescent="0.3">
      <c r="C71" s="219" t="s">
        <v>1323</v>
      </c>
      <c r="D71" s="221">
        <v>5</v>
      </c>
      <c r="E71" s="254" t="s">
        <v>238</v>
      </c>
      <c r="F71" s="219">
        <v>3111</v>
      </c>
      <c r="G71" s="226"/>
      <c r="H71" s="67"/>
      <c r="I71" s="242"/>
      <c r="J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1" s="67"/>
    </row>
    <row r="72" spans="3:11" x14ac:dyDescent="0.3">
      <c r="C72" s="219" t="s">
        <v>1324</v>
      </c>
      <c r="D72" s="221">
        <v>6</v>
      </c>
      <c r="E72" s="254" t="s">
        <v>238</v>
      </c>
      <c r="F72" s="219">
        <v>3111</v>
      </c>
      <c r="G72" s="226"/>
      <c r="H72" s="67"/>
      <c r="I72" s="242"/>
      <c r="J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2" s="67"/>
    </row>
    <row r="73" spans="3:11" x14ac:dyDescent="0.3">
      <c r="C73" s="219" t="s">
        <v>1325</v>
      </c>
      <c r="D73" s="221">
        <v>7</v>
      </c>
      <c r="E73" s="254" t="s">
        <v>238</v>
      </c>
      <c r="F73" s="219">
        <v>3111</v>
      </c>
      <c r="G73" s="226"/>
      <c r="H73" s="67"/>
      <c r="I73" s="242"/>
      <c r="J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3" s="67"/>
    </row>
    <row r="74" spans="3:11" x14ac:dyDescent="0.3">
      <c r="C74" s="219" t="s">
        <v>1326</v>
      </c>
      <c r="D74" s="221">
        <v>8</v>
      </c>
      <c r="E74" s="254" t="s">
        <v>238</v>
      </c>
      <c r="F74" s="219">
        <v>3111</v>
      </c>
      <c r="G74" s="226"/>
      <c r="H74" s="67"/>
      <c r="I74" s="242"/>
      <c r="J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4" s="67"/>
    </row>
    <row r="75" spans="3:11" x14ac:dyDescent="0.3">
      <c r="C75" s="219" t="s">
        <v>1327</v>
      </c>
      <c r="D75" s="221">
        <v>9</v>
      </c>
      <c r="E75" s="254" t="s">
        <v>238</v>
      </c>
      <c r="F75" s="219">
        <v>3111</v>
      </c>
      <c r="G75" s="226"/>
      <c r="H75" s="67"/>
      <c r="I75" s="242"/>
      <c r="J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5" s="67"/>
    </row>
    <row r="76" spans="3:11" x14ac:dyDescent="0.3">
      <c r="C76" s="219" t="s">
        <v>1328</v>
      </c>
      <c r="D76" s="221">
        <v>10</v>
      </c>
      <c r="E76" s="254" t="s">
        <v>238</v>
      </c>
      <c r="F76" s="219">
        <v>3111</v>
      </c>
      <c r="G76" s="226"/>
      <c r="H76" s="67"/>
      <c r="I76" s="242"/>
      <c r="J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6" s="67"/>
    </row>
    <row r="77" spans="3:11" x14ac:dyDescent="0.3">
      <c r="C77" s="219" t="s">
        <v>1329</v>
      </c>
      <c r="D77" s="221">
        <v>11</v>
      </c>
      <c r="E77" s="254" t="s">
        <v>238</v>
      </c>
      <c r="F77" s="219">
        <v>3111</v>
      </c>
      <c r="G77" s="226"/>
      <c r="H77" s="67"/>
      <c r="I77" s="242"/>
      <c r="J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7" s="67"/>
    </row>
    <row r="78" spans="3:11" x14ac:dyDescent="0.3">
      <c r="C78" s="219" t="s">
        <v>1330</v>
      </c>
      <c r="D78" s="221">
        <v>12</v>
      </c>
      <c r="E78" s="254" t="s">
        <v>238</v>
      </c>
      <c r="F78" s="219">
        <v>3111</v>
      </c>
      <c r="G78" s="226"/>
      <c r="H78" s="67"/>
      <c r="I78" s="242"/>
      <c r="J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8" s="67"/>
    </row>
    <row r="79" spans="3:11" x14ac:dyDescent="0.3">
      <c r="C79" s="219" t="s">
        <v>1331</v>
      </c>
      <c r="D79" s="221">
        <v>13</v>
      </c>
      <c r="E79" s="254" t="s">
        <v>238</v>
      </c>
      <c r="F79" s="219">
        <v>3111</v>
      </c>
      <c r="G79" s="226"/>
      <c r="H79" s="67"/>
      <c r="I79" s="242"/>
      <c r="J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9" s="67"/>
    </row>
    <row r="80" spans="3:11" x14ac:dyDescent="0.3">
      <c r="C80" s="219" t="s">
        <v>1332</v>
      </c>
      <c r="D80" s="221">
        <v>14</v>
      </c>
      <c r="E80" s="254" t="s">
        <v>238</v>
      </c>
      <c r="F80" s="219">
        <v>3111</v>
      </c>
      <c r="G80" s="226"/>
      <c r="H80" s="67"/>
      <c r="I80" s="242"/>
      <c r="J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0" s="67"/>
    </row>
    <row r="81" spans="3:11" x14ac:dyDescent="0.3">
      <c r="C81" s="219" t="s">
        <v>1333</v>
      </c>
      <c r="D81" s="221">
        <v>15</v>
      </c>
      <c r="E81" s="254" t="s">
        <v>238</v>
      </c>
      <c r="F81" s="219">
        <v>3111</v>
      </c>
      <c r="G81" s="226"/>
      <c r="H81" s="67"/>
      <c r="I81" s="242"/>
      <c r="J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1" s="67"/>
    </row>
    <row r="82" spans="3:11" x14ac:dyDescent="0.3">
      <c r="C82" s="219" t="s">
        <v>1334</v>
      </c>
      <c r="D82" s="221">
        <v>16</v>
      </c>
      <c r="E82" s="254" t="s">
        <v>238</v>
      </c>
      <c r="F82" s="219">
        <v>3111</v>
      </c>
      <c r="G82" s="226"/>
      <c r="H82" s="67"/>
      <c r="I82" s="242"/>
      <c r="J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2" s="67"/>
    </row>
    <row r="83" spans="3:11" x14ac:dyDescent="0.3">
      <c r="C83" s="219" t="s">
        <v>1335</v>
      </c>
      <c r="D83" s="221">
        <v>17</v>
      </c>
      <c r="E83" s="254" t="s">
        <v>238</v>
      </c>
      <c r="F83" s="219">
        <v>3111</v>
      </c>
      <c r="G83" s="226"/>
      <c r="H83" s="67"/>
      <c r="I83" s="242" t="s">
        <v>1758</v>
      </c>
      <c r="J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3" s="67"/>
    </row>
    <row r="84" spans="3:11" x14ac:dyDescent="0.3">
      <c r="C84" s="219" t="s">
        <v>1336</v>
      </c>
      <c r="D84" s="221">
        <v>18</v>
      </c>
      <c r="E84" s="254" t="s">
        <v>238</v>
      </c>
      <c r="F84" s="219">
        <v>3111</v>
      </c>
      <c r="G84" s="226"/>
      <c r="H84" s="67"/>
      <c r="I84" s="242"/>
      <c r="J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4" s="67"/>
    </row>
    <row r="85" spans="3:11" x14ac:dyDescent="0.3">
      <c r="C85" s="219" t="s">
        <v>1337</v>
      </c>
      <c r="D85" s="221">
        <v>19</v>
      </c>
      <c r="E85" s="254" t="s">
        <v>238</v>
      </c>
      <c r="F85" s="219">
        <v>3111</v>
      </c>
      <c r="G85" s="226"/>
      <c r="H85" s="67"/>
      <c r="I85" s="242"/>
      <c r="J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5" s="67"/>
    </row>
    <row r="86" spans="3:11" x14ac:dyDescent="0.3">
      <c r="C86" s="219" t="s">
        <v>1338</v>
      </c>
      <c r="D86" s="221">
        <v>20</v>
      </c>
      <c r="E86" s="254" t="s">
        <v>238</v>
      </c>
      <c r="F86" s="219">
        <v>3111</v>
      </c>
      <c r="G86" s="226"/>
      <c r="H86" s="67"/>
      <c r="I86" s="242"/>
      <c r="J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6" s="67"/>
    </row>
    <row r="87" spans="3:11" x14ac:dyDescent="0.3">
      <c r="C87" s="219" t="s">
        <v>1339</v>
      </c>
      <c r="D87" s="221">
        <v>21</v>
      </c>
      <c r="E87" s="254" t="s">
        <v>238</v>
      </c>
      <c r="F87" s="219">
        <v>3111</v>
      </c>
      <c r="G87" s="226"/>
      <c r="H87" s="67"/>
      <c r="I87" s="242"/>
      <c r="J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7" s="67"/>
    </row>
    <row r="88" spans="3:11" x14ac:dyDescent="0.3">
      <c r="C88" s="219" t="s">
        <v>1340</v>
      </c>
      <c r="D88" s="221">
        <v>22</v>
      </c>
      <c r="E88" s="254" t="s">
        <v>238</v>
      </c>
      <c r="F88" s="219">
        <v>3111</v>
      </c>
      <c r="G88" s="226"/>
      <c r="H88" s="67"/>
      <c r="I88" s="242"/>
      <c r="J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8" s="67"/>
    </row>
    <row r="89" spans="3:11" x14ac:dyDescent="0.3">
      <c r="C89" s="219" t="s">
        <v>1341</v>
      </c>
      <c r="D89" s="221">
        <v>23</v>
      </c>
      <c r="E89" s="254" t="s">
        <v>238</v>
      </c>
      <c r="F89" s="219">
        <v>3111</v>
      </c>
      <c r="G89" s="226"/>
      <c r="H89" s="67"/>
      <c r="I89" s="242" t="s">
        <v>1758</v>
      </c>
      <c r="J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9" s="67"/>
    </row>
    <row r="90" spans="3:11" x14ac:dyDescent="0.3">
      <c r="C90" s="219" t="s">
        <v>1342</v>
      </c>
      <c r="D90" s="221">
        <v>24</v>
      </c>
      <c r="E90" s="254" t="s">
        <v>238</v>
      </c>
      <c r="F90" s="219">
        <v>3111</v>
      </c>
      <c r="G90" s="226"/>
      <c r="H90" s="67"/>
      <c r="I90" s="242"/>
      <c r="J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0" s="67"/>
    </row>
    <row r="91" spans="3:11" x14ac:dyDescent="0.3">
      <c r="C91" s="219" t="s">
        <v>1343</v>
      </c>
      <c r="D91" s="221">
        <v>25</v>
      </c>
      <c r="E91" s="254" t="s">
        <v>238</v>
      </c>
      <c r="F91" s="219">
        <v>3111</v>
      </c>
      <c r="G91" s="226"/>
      <c r="H91" s="67"/>
      <c r="I91" s="242"/>
      <c r="J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1" s="67"/>
    </row>
    <row r="92" spans="3:11" x14ac:dyDescent="0.3">
      <c r="C92" s="219" t="s">
        <v>1344</v>
      </c>
      <c r="D92" s="221">
        <v>26</v>
      </c>
      <c r="E92" s="254" t="s">
        <v>238</v>
      </c>
      <c r="F92" s="219">
        <v>3111</v>
      </c>
      <c r="G92" s="226"/>
      <c r="H92" s="67"/>
      <c r="I92" s="242"/>
      <c r="J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2" s="67"/>
    </row>
    <row r="93" spans="3:11" x14ac:dyDescent="0.3">
      <c r="C93" s="219" t="s">
        <v>1345</v>
      </c>
      <c r="D93" s="221">
        <v>27</v>
      </c>
      <c r="E93" s="254" t="s">
        <v>238</v>
      </c>
      <c r="F93" s="219">
        <v>3111</v>
      </c>
      <c r="G93" s="226"/>
      <c r="H93" s="67"/>
      <c r="I93" s="242"/>
      <c r="J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7"/>
    </row>
    <row r="94" spans="3:11" x14ac:dyDescent="0.3">
      <c r="C94" s="219" t="s">
        <v>1346</v>
      </c>
      <c r="D94" s="221">
        <v>28</v>
      </c>
      <c r="E94" s="254" t="s">
        <v>238</v>
      </c>
      <c r="F94" s="219">
        <v>3111</v>
      </c>
      <c r="G94" s="226"/>
      <c r="H94" s="67"/>
      <c r="I94" s="242"/>
      <c r="J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7"/>
    </row>
    <row r="95" spans="3:11" x14ac:dyDescent="0.3">
      <c r="C95" s="219" t="s">
        <v>1347</v>
      </c>
      <c r="D95" s="221">
        <v>29</v>
      </c>
      <c r="E95" s="254" t="s">
        <v>238</v>
      </c>
      <c r="F95" s="219">
        <v>3111</v>
      </c>
      <c r="G95" s="226"/>
      <c r="H95" s="67"/>
      <c r="I95" s="242"/>
      <c r="J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7"/>
    </row>
    <row r="96" spans="3:11" x14ac:dyDescent="0.3">
      <c r="C96" s="219" t="s">
        <v>1348</v>
      </c>
      <c r="D96" s="221">
        <v>30</v>
      </c>
      <c r="E96" s="254" t="s">
        <v>238</v>
      </c>
      <c r="F96" s="219">
        <v>3111</v>
      </c>
      <c r="G96" s="226"/>
      <c r="H96" s="67"/>
      <c r="I96" s="242"/>
      <c r="J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7"/>
    </row>
    <row r="97" spans="3:11" x14ac:dyDescent="0.3">
      <c r="C97" s="219" t="s">
        <v>1349</v>
      </c>
      <c r="D97" s="221">
        <v>31</v>
      </c>
      <c r="E97" s="254" t="s">
        <v>238</v>
      </c>
      <c r="F97" s="219">
        <v>3111</v>
      </c>
      <c r="G97" s="226"/>
      <c r="H97" s="67"/>
      <c r="I97" s="242"/>
      <c r="J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7"/>
    </row>
    <row r="98" spans="3:11" x14ac:dyDescent="0.3">
      <c r="C98" s="219" t="s">
        <v>1350</v>
      </c>
      <c r="D98" s="221">
        <v>32</v>
      </c>
      <c r="E98" s="254" t="s">
        <v>238</v>
      </c>
      <c r="F98" s="219">
        <v>3111</v>
      </c>
      <c r="G98" s="226"/>
      <c r="H98" s="67"/>
      <c r="I98" s="242"/>
      <c r="J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7"/>
    </row>
    <row r="99" spans="3:11" x14ac:dyDescent="0.3">
      <c r="C99" s="219" t="s">
        <v>1351</v>
      </c>
      <c r="D99" s="221">
        <v>33</v>
      </c>
      <c r="E99" s="254" t="s">
        <v>238</v>
      </c>
      <c r="F99" s="219">
        <v>3111</v>
      </c>
      <c r="G99" s="226"/>
      <c r="H99" s="67"/>
      <c r="I99" s="242"/>
      <c r="J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7"/>
    </row>
    <row r="100" spans="3:11" x14ac:dyDescent="0.3">
      <c r="C100" s="219" t="s">
        <v>1352</v>
      </c>
      <c r="D100" s="221">
        <v>34</v>
      </c>
      <c r="E100" s="254" t="s">
        <v>238</v>
      </c>
      <c r="F100" s="219">
        <v>3111</v>
      </c>
      <c r="G100" s="226"/>
      <c r="H100" s="67"/>
      <c r="I100" s="242"/>
      <c r="J1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7"/>
    </row>
    <row r="101" spans="3:11" x14ac:dyDescent="0.3">
      <c r="C101" s="219" t="s">
        <v>1353</v>
      </c>
      <c r="D101" s="221">
        <v>35</v>
      </c>
      <c r="E101" s="254" t="s">
        <v>238</v>
      </c>
      <c r="F101" s="219">
        <v>3111</v>
      </c>
      <c r="G101" s="226"/>
      <c r="H101" s="67"/>
      <c r="I101" s="242"/>
      <c r="J1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7"/>
    </row>
    <row r="102" spans="3:11" x14ac:dyDescent="0.3">
      <c r="C102" s="219" t="s">
        <v>2645</v>
      </c>
      <c r="D102" s="221">
        <v>1</v>
      </c>
      <c r="E102" s="259" t="s">
        <v>2596</v>
      </c>
      <c r="F102" s="219">
        <v>3151</v>
      </c>
      <c r="G102" s="226"/>
      <c r="H102" s="67" t="s">
        <v>236</v>
      </c>
      <c r="I102" s="242" t="s">
        <v>1758</v>
      </c>
      <c r="J1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2" s="67"/>
    </row>
    <row r="103" spans="3:11" x14ac:dyDescent="0.3">
      <c r="C103" s="219" t="s">
        <v>2646</v>
      </c>
      <c r="D103" s="221">
        <v>2</v>
      </c>
      <c r="E103" s="259" t="s">
        <v>2596</v>
      </c>
      <c r="F103" s="219">
        <v>3151</v>
      </c>
      <c r="G103" s="226"/>
      <c r="H103" s="67"/>
      <c r="I103" s="242"/>
      <c r="J1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3" s="67"/>
    </row>
    <row r="104" spans="3:11" x14ac:dyDescent="0.3">
      <c r="C104" s="219" t="s">
        <v>2647</v>
      </c>
      <c r="D104" s="221">
        <v>3</v>
      </c>
      <c r="E104" s="259" t="s">
        <v>2596</v>
      </c>
      <c r="F104" s="219">
        <v>3151</v>
      </c>
      <c r="G104" s="226"/>
      <c r="H104" s="67"/>
      <c r="I104" s="242"/>
      <c r="J1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4" s="67"/>
    </row>
    <row r="105" spans="3:11" x14ac:dyDescent="0.3">
      <c r="C105" s="219" t="s">
        <v>2648</v>
      </c>
      <c r="D105" s="221">
        <v>4</v>
      </c>
      <c r="E105" s="259" t="s">
        <v>2596</v>
      </c>
      <c r="F105" s="219">
        <v>3151</v>
      </c>
      <c r="G105" s="226"/>
      <c r="H105" s="67" t="s">
        <v>236</v>
      </c>
      <c r="I105" s="242" t="s">
        <v>1758</v>
      </c>
      <c r="J1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5" s="67"/>
    </row>
    <row r="106" spans="3:11" x14ac:dyDescent="0.3">
      <c r="C106" s="219" t="s">
        <v>2649</v>
      </c>
      <c r="D106" s="221">
        <v>5</v>
      </c>
      <c r="E106" s="259" t="s">
        <v>2596</v>
      </c>
      <c r="F106" s="219">
        <v>3151</v>
      </c>
      <c r="G106" s="226"/>
      <c r="H106" s="67"/>
      <c r="I106" s="242"/>
      <c r="J1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6" s="67"/>
    </row>
    <row r="107" spans="3:11" x14ac:dyDescent="0.3">
      <c r="C107" s="219" t="s">
        <v>2650</v>
      </c>
      <c r="D107" s="221">
        <v>6</v>
      </c>
      <c r="E107" s="259" t="s">
        <v>2596</v>
      </c>
      <c r="F107" s="219">
        <v>3151</v>
      </c>
      <c r="G107" s="226"/>
      <c r="H107" s="67"/>
      <c r="I107" s="242"/>
      <c r="J1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7" s="67"/>
    </row>
    <row r="108" spans="3:11" x14ac:dyDescent="0.3">
      <c r="C108" s="219" t="s">
        <v>2651</v>
      </c>
      <c r="D108" s="221">
        <v>7</v>
      </c>
      <c r="E108" s="259" t="s">
        <v>2596</v>
      </c>
      <c r="F108" s="219">
        <v>3151</v>
      </c>
      <c r="G108" s="226"/>
      <c r="H108" s="67"/>
      <c r="I108" s="242"/>
      <c r="J1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8" s="67"/>
    </row>
    <row r="109" spans="3:11" x14ac:dyDescent="0.3">
      <c r="C109" s="219" t="s">
        <v>2652</v>
      </c>
      <c r="D109" s="221">
        <v>8</v>
      </c>
      <c r="E109" s="259" t="s">
        <v>2596</v>
      </c>
      <c r="F109" s="219">
        <v>3151</v>
      </c>
      <c r="G109" s="226"/>
      <c r="H109" s="67"/>
      <c r="I109" s="242"/>
      <c r="J1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9" s="67"/>
    </row>
    <row r="110" spans="3:11" x14ac:dyDescent="0.3">
      <c r="C110" s="219" t="s">
        <v>2653</v>
      </c>
      <c r="D110" s="221">
        <v>9</v>
      </c>
      <c r="E110" s="259" t="s">
        <v>2596</v>
      </c>
      <c r="F110" s="219">
        <v>3151</v>
      </c>
      <c r="G110" s="226"/>
      <c r="H110" s="67"/>
      <c r="I110" s="242"/>
      <c r="J1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0" s="67"/>
    </row>
    <row r="111" spans="3:11" x14ac:dyDescent="0.3">
      <c r="C111" s="219" t="s">
        <v>2654</v>
      </c>
      <c r="D111" s="221">
        <v>10</v>
      </c>
      <c r="E111" s="259" t="s">
        <v>2596</v>
      </c>
      <c r="F111" s="219">
        <v>3151</v>
      </c>
      <c r="G111" s="226"/>
      <c r="H111" s="67"/>
      <c r="I111" s="242"/>
      <c r="J1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1" s="67"/>
    </row>
    <row r="112" spans="3:11" x14ac:dyDescent="0.3">
      <c r="C112" s="219" t="s">
        <v>2655</v>
      </c>
      <c r="D112" s="221">
        <v>11</v>
      </c>
      <c r="E112" s="259" t="s">
        <v>2596</v>
      </c>
      <c r="F112" s="219">
        <v>3151</v>
      </c>
      <c r="G112" s="226"/>
      <c r="H112" s="67"/>
      <c r="I112" s="242"/>
      <c r="J1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2" s="67"/>
    </row>
    <row r="113" spans="3:11" x14ac:dyDescent="0.3">
      <c r="C113" s="219" t="s">
        <v>2656</v>
      </c>
      <c r="D113" s="221">
        <v>12</v>
      </c>
      <c r="E113" s="259" t="s">
        <v>2596</v>
      </c>
      <c r="F113" s="219">
        <v>3151</v>
      </c>
      <c r="G113" s="226"/>
      <c r="H113" s="67"/>
      <c r="I113" s="242"/>
      <c r="J1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3" s="67"/>
    </row>
    <row r="114" spans="3:11" x14ac:dyDescent="0.3">
      <c r="C114" s="219" t="s">
        <v>2657</v>
      </c>
      <c r="D114" s="221">
        <v>13</v>
      </c>
      <c r="E114" s="259" t="s">
        <v>2596</v>
      </c>
      <c r="F114" s="219">
        <v>3151</v>
      </c>
      <c r="G114" s="226"/>
      <c r="H114" s="67"/>
      <c r="I114" s="242"/>
      <c r="J1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4" s="67"/>
    </row>
    <row r="115" spans="3:11" x14ac:dyDescent="0.3">
      <c r="C115" s="219" t="s">
        <v>2658</v>
      </c>
      <c r="D115" s="221">
        <v>14</v>
      </c>
      <c r="E115" s="259" t="s">
        <v>2596</v>
      </c>
      <c r="F115" s="219">
        <v>3151</v>
      </c>
      <c r="G115" s="226"/>
      <c r="H115" s="67"/>
      <c r="I115" s="242"/>
      <c r="J1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5" s="67"/>
    </row>
    <row r="116" spans="3:11" x14ac:dyDescent="0.3">
      <c r="C116" s="219" t="s">
        <v>2659</v>
      </c>
      <c r="D116" s="221">
        <v>15</v>
      </c>
      <c r="E116" s="259" t="s">
        <v>2596</v>
      </c>
      <c r="F116" s="219">
        <v>3151</v>
      </c>
      <c r="G116" s="226"/>
      <c r="H116" s="67"/>
      <c r="I116" s="242"/>
      <c r="J1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6" s="67"/>
    </row>
    <row r="117" spans="3:11" x14ac:dyDescent="0.3">
      <c r="C117" s="219" t="s">
        <v>2660</v>
      </c>
      <c r="D117" s="221">
        <v>16</v>
      </c>
      <c r="E117" s="259" t="s">
        <v>2596</v>
      </c>
      <c r="F117" s="219">
        <v>3151</v>
      </c>
      <c r="G117" s="226"/>
      <c r="H117" s="67"/>
      <c r="I117" s="242"/>
      <c r="J1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7" s="67"/>
    </row>
    <row r="118" spans="3:11" x14ac:dyDescent="0.3">
      <c r="C118" s="219" t="s">
        <v>2661</v>
      </c>
      <c r="D118" s="221">
        <v>17</v>
      </c>
      <c r="E118" s="259" t="s">
        <v>2596</v>
      </c>
      <c r="F118" s="219">
        <v>3151</v>
      </c>
      <c r="G118" s="226"/>
      <c r="H118" s="67"/>
      <c r="I118" s="242"/>
      <c r="J1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8" s="67"/>
    </row>
    <row r="119" spans="3:11" x14ac:dyDescent="0.3">
      <c r="C119" s="219" t="s">
        <v>2662</v>
      </c>
      <c r="D119" s="221">
        <v>18</v>
      </c>
      <c r="E119" s="259" t="s">
        <v>2596</v>
      </c>
      <c r="F119" s="219">
        <v>3151</v>
      </c>
      <c r="G119" s="226"/>
      <c r="H119" s="67"/>
      <c r="I119" s="242"/>
      <c r="J1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9" s="67"/>
    </row>
    <row r="120" spans="3:11" x14ac:dyDescent="0.3">
      <c r="C120" s="219" t="s">
        <v>2663</v>
      </c>
      <c r="D120" s="221">
        <v>19</v>
      </c>
      <c r="E120" s="259" t="s">
        <v>2596</v>
      </c>
      <c r="F120" s="219">
        <v>3151</v>
      </c>
      <c r="G120" s="226"/>
      <c r="H120" s="67" t="s">
        <v>237</v>
      </c>
      <c r="I120" s="242" t="s">
        <v>2730</v>
      </c>
      <c r="J1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CONST - Intentos autocebado</v>
      </c>
      <c r="K120" s="67"/>
    </row>
    <row r="121" spans="3:11" x14ac:dyDescent="0.3">
      <c r="C121" s="219" t="s">
        <v>2664</v>
      </c>
      <c r="D121" s="221">
        <v>20</v>
      </c>
      <c r="E121" s="259" t="s">
        <v>2596</v>
      </c>
      <c r="F121" s="219">
        <v>3151</v>
      </c>
      <c r="G121" s="226"/>
      <c r="H121" s="67"/>
      <c r="I121" s="242"/>
      <c r="J1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1" s="67"/>
    </row>
    <row r="122" spans="3:11" x14ac:dyDescent="0.3">
      <c r="C122" s="219" t="s">
        <v>2665</v>
      </c>
      <c r="D122" s="221">
        <v>21</v>
      </c>
      <c r="E122" s="259" t="s">
        <v>2596</v>
      </c>
      <c r="F122" s="219">
        <v>3151</v>
      </c>
      <c r="G122" s="226"/>
      <c r="H122" s="67"/>
      <c r="I122" s="242"/>
      <c r="J1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2" s="67"/>
    </row>
    <row r="123" spans="3:11" x14ac:dyDescent="0.3">
      <c r="C123" s="219" t="s">
        <v>2666</v>
      </c>
      <c r="D123" s="221">
        <v>22</v>
      </c>
      <c r="E123" s="259" t="s">
        <v>2596</v>
      </c>
      <c r="F123" s="219">
        <v>3151</v>
      </c>
      <c r="G123" s="226"/>
      <c r="H123" s="67"/>
      <c r="I123" s="242"/>
      <c r="J1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3" s="67"/>
    </row>
    <row r="124" spans="3:11" x14ac:dyDescent="0.3">
      <c r="C124" s="219" t="s">
        <v>2667</v>
      </c>
      <c r="D124" s="221">
        <v>23</v>
      </c>
      <c r="E124" s="259" t="s">
        <v>2596</v>
      </c>
      <c r="F124" s="219">
        <v>3151</v>
      </c>
      <c r="G124" s="226"/>
      <c r="H124" s="67"/>
      <c r="I124" s="242"/>
      <c r="J1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4" s="67"/>
    </row>
    <row r="125" spans="3:11" x14ac:dyDescent="0.3">
      <c r="C125" s="219" t="s">
        <v>2668</v>
      </c>
      <c r="D125" s="221">
        <v>24</v>
      </c>
      <c r="E125" s="259" t="s">
        <v>2596</v>
      </c>
      <c r="F125" s="219">
        <v>3151</v>
      </c>
      <c r="G125" s="226"/>
      <c r="H125" s="67"/>
      <c r="I125" s="242"/>
      <c r="J1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5" s="67"/>
    </row>
    <row r="126" spans="3:11" x14ac:dyDescent="0.3">
      <c r="C126" s="219" t="s">
        <v>2669</v>
      </c>
      <c r="D126" s="221">
        <v>25</v>
      </c>
      <c r="E126" s="259" t="s">
        <v>2596</v>
      </c>
      <c r="F126" s="219">
        <v>3151</v>
      </c>
      <c r="G126" s="226"/>
      <c r="H126" s="67"/>
      <c r="I126" s="242"/>
      <c r="J1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6" s="67"/>
    </row>
    <row r="127" spans="3:11" x14ac:dyDescent="0.3">
      <c r="C127" s="219" t="s">
        <v>2670</v>
      </c>
      <c r="D127" s="221">
        <v>26</v>
      </c>
      <c r="E127" s="259" t="s">
        <v>2596</v>
      </c>
      <c r="F127" s="219">
        <v>3151</v>
      </c>
      <c r="G127" s="226"/>
      <c r="H127" s="67"/>
      <c r="I127" s="242"/>
      <c r="J1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7" s="67"/>
    </row>
    <row r="128" spans="3:11" x14ac:dyDescent="0.3">
      <c r="C128" s="219" t="s">
        <v>2671</v>
      </c>
      <c r="D128" s="221">
        <v>27</v>
      </c>
      <c r="E128" s="259" t="s">
        <v>2596</v>
      </c>
      <c r="F128" s="219">
        <v>3151</v>
      </c>
      <c r="G128" s="226"/>
      <c r="H128" s="67"/>
      <c r="I128" s="242"/>
      <c r="J1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8" s="67"/>
    </row>
    <row r="129" spans="3:11" x14ac:dyDescent="0.3">
      <c r="C129" s="219" t="s">
        <v>2672</v>
      </c>
      <c r="D129" s="221">
        <v>28</v>
      </c>
      <c r="E129" s="259" t="s">
        <v>2596</v>
      </c>
      <c r="F129" s="219">
        <v>3151</v>
      </c>
      <c r="G129" s="226"/>
      <c r="H129" s="67"/>
      <c r="I129" s="242"/>
      <c r="J1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9" s="67"/>
    </row>
    <row r="130" spans="3:11" x14ac:dyDescent="0.3">
      <c r="C130" s="219" t="s">
        <v>2673</v>
      </c>
      <c r="D130" s="221">
        <v>29</v>
      </c>
      <c r="E130" s="259" t="s">
        <v>2596</v>
      </c>
      <c r="F130" s="219">
        <v>3151</v>
      </c>
      <c r="G130" s="226"/>
      <c r="H130" s="67"/>
      <c r="I130" s="242"/>
      <c r="J1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0" s="67"/>
    </row>
    <row r="131" spans="3:11" x14ac:dyDescent="0.3">
      <c r="C131" s="219" t="s">
        <v>2674</v>
      </c>
      <c r="D131" s="221">
        <v>30</v>
      </c>
      <c r="E131" s="259" t="s">
        <v>2596</v>
      </c>
      <c r="F131" s="219">
        <v>3151</v>
      </c>
      <c r="G131" s="226"/>
      <c r="H131" s="67"/>
      <c r="I131" s="242"/>
      <c r="J1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1" s="67"/>
    </row>
    <row r="132" spans="3:11" x14ac:dyDescent="0.3">
      <c r="C132" s="219" t="s">
        <v>2675</v>
      </c>
      <c r="D132" s="221">
        <v>31</v>
      </c>
      <c r="E132" s="259" t="s">
        <v>2596</v>
      </c>
      <c r="F132" s="219">
        <v>3151</v>
      </c>
      <c r="G132" s="226"/>
      <c r="H132" s="67"/>
      <c r="I132" s="242"/>
      <c r="J1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2" s="67"/>
    </row>
    <row r="133" spans="3:11" x14ac:dyDescent="0.3">
      <c r="C133" s="219" t="s">
        <v>2676</v>
      </c>
      <c r="D133" s="221">
        <v>32</v>
      </c>
      <c r="E133" s="259" t="s">
        <v>2596</v>
      </c>
      <c r="F133" s="219">
        <v>3151</v>
      </c>
      <c r="G133" s="226"/>
      <c r="H133" s="67"/>
      <c r="I133" s="242"/>
      <c r="J1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3" s="67"/>
    </row>
    <row r="134" spans="3:11" x14ac:dyDescent="0.3">
      <c r="C134" s="219" t="s">
        <v>2677</v>
      </c>
      <c r="D134" s="221">
        <v>33</v>
      </c>
      <c r="E134" s="259" t="s">
        <v>2596</v>
      </c>
      <c r="F134" s="219">
        <v>3151</v>
      </c>
      <c r="G134" s="226"/>
      <c r="H134" s="67"/>
      <c r="I134" s="242"/>
      <c r="J1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4" s="67"/>
    </row>
    <row r="135" spans="3:11" x14ac:dyDescent="0.3">
      <c r="C135" s="219" t="s">
        <v>2678</v>
      </c>
      <c r="D135" s="221">
        <v>34</v>
      </c>
      <c r="E135" s="259" t="s">
        <v>2596</v>
      </c>
      <c r="F135" s="219">
        <v>3151</v>
      </c>
      <c r="G135" s="226"/>
      <c r="H135" s="67"/>
      <c r="I135" s="242"/>
      <c r="J1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5" s="67"/>
    </row>
    <row r="136" spans="3:11" x14ac:dyDescent="0.3">
      <c r="C136" s="219" t="s">
        <v>2679</v>
      </c>
      <c r="D136" s="221">
        <v>35</v>
      </c>
      <c r="E136" s="259" t="s">
        <v>2596</v>
      </c>
      <c r="F136" s="219">
        <v>3151</v>
      </c>
      <c r="G136" s="226"/>
      <c r="H136" s="67"/>
      <c r="I136" s="242"/>
      <c r="J1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6" s="67"/>
    </row>
    <row r="137" spans="3:11" x14ac:dyDescent="0.3">
      <c r="C137" s="219" t="s">
        <v>2680</v>
      </c>
      <c r="D137" s="221">
        <v>36</v>
      </c>
      <c r="E137" s="259" t="s">
        <v>2596</v>
      </c>
      <c r="F137" s="219">
        <v>3151</v>
      </c>
      <c r="G137" s="226"/>
      <c r="H137" s="67"/>
      <c r="I137" s="242"/>
      <c r="J1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7" s="67"/>
    </row>
    <row r="138" spans="3:11" x14ac:dyDescent="0.3">
      <c r="C138" s="219" t="s">
        <v>2681</v>
      </c>
      <c r="D138" s="221">
        <v>37</v>
      </c>
      <c r="E138" s="259" t="s">
        <v>2596</v>
      </c>
      <c r="F138" s="219">
        <v>3151</v>
      </c>
      <c r="G138" s="226"/>
      <c r="H138" s="67"/>
      <c r="I138" s="242"/>
      <c r="J1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8" s="67"/>
    </row>
    <row r="139" spans="3:11" x14ac:dyDescent="0.3">
      <c r="C139" s="219" t="s">
        <v>2682</v>
      </c>
      <c r="D139" s="221">
        <v>38</v>
      </c>
      <c r="E139" s="259" t="s">
        <v>2596</v>
      </c>
      <c r="F139" s="219">
        <v>3151</v>
      </c>
      <c r="G139" s="226"/>
      <c r="H139" s="67"/>
      <c r="I139" s="242"/>
      <c r="J1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9" s="67"/>
    </row>
    <row r="140" spans="3:11" x14ac:dyDescent="0.3">
      <c r="C140" s="219" t="s">
        <v>1354</v>
      </c>
      <c r="D140" s="221">
        <v>1</v>
      </c>
      <c r="E140" s="255" t="s">
        <v>239</v>
      </c>
      <c r="F140" s="219">
        <v>3501</v>
      </c>
      <c r="G140" s="226"/>
      <c r="H140" s="67"/>
      <c r="I140" s="242" t="s">
        <v>1758</v>
      </c>
      <c r="J1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40" s="67"/>
    </row>
    <row r="141" spans="3:11" x14ac:dyDescent="0.3">
      <c r="C141" s="219" t="s">
        <v>1355</v>
      </c>
      <c r="D141" s="221">
        <v>2</v>
      </c>
      <c r="E141" s="255" t="s">
        <v>239</v>
      </c>
      <c r="F141" s="219">
        <v>3501</v>
      </c>
      <c r="G141" s="226"/>
      <c r="H141" s="67"/>
      <c r="I141" s="242"/>
      <c r="J1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1" s="67"/>
    </row>
    <row r="142" spans="3:11" x14ac:dyDescent="0.3">
      <c r="C142" s="219" t="s">
        <v>1356</v>
      </c>
      <c r="D142" s="221">
        <v>3</v>
      </c>
      <c r="E142" s="255" t="s">
        <v>239</v>
      </c>
      <c r="F142" s="219">
        <v>3501</v>
      </c>
      <c r="G142" s="226"/>
      <c r="H142" s="67"/>
      <c r="I142" s="242"/>
      <c r="J1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2" s="67"/>
    </row>
    <row r="143" spans="3:11" x14ac:dyDescent="0.3">
      <c r="C143" s="219" t="s">
        <v>1357</v>
      </c>
      <c r="D143" s="221">
        <v>4</v>
      </c>
      <c r="E143" s="255" t="s">
        <v>239</v>
      </c>
      <c r="F143" s="219">
        <v>3501</v>
      </c>
      <c r="G143" s="226"/>
      <c r="H143" s="67"/>
      <c r="I143" s="242"/>
      <c r="J1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3" s="67"/>
    </row>
    <row r="144" spans="3:11" x14ac:dyDescent="0.3">
      <c r="C144" s="219" t="s">
        <v>1358</v>
      </c>
      <c r="D144" s="221">
        <v>5</v>
      </c>
      <c r="E144" s="255" t="s">
        <v>239</v>
      </c>
      <c r="F144" s="219">
        <v>3501</v>
      </c>
      <c r="G144" s="226"/>
      <c r="H144" s="67"/>
      <c r="I144" s="242"/>
      <c r="J1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4" s="67"/>
    </row>
    <row r="145" spans="3:11" x14ac:dyDescent="0.3">
      <c r="C145" s="219" t="s">
        <v>1359</v>
      </c>
      <c r="D145" s="221">
        <v>6</v>
      </c>
      <c r="E145" s="255" t="s">
        <v>239</v>
      </c>
      <c r="F145" s="219">
        <v>3501</v>
      </c>
      <c r="G145" s="226"/>
      <c r="H145" s="67"/>
      <c r="I145" s="242"/>
      <c r="J1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5" s="67"/>
    </row>
    <row r="146" spans="3:11" x14ac:dyDescent="0.3">
      <c r="C146" s="219" t="s">
        <v>1360</v>
      </c>
      <c r="D146" s="221">
        <v>7</v>
      </c>
      <c r="E146" s="255" t="s">
        <v>239</v>
      </c>
      <c r="F146" s="219">
        <v>3501</v>
      </c>
      <c r="G146" s="226"/>
      <c r="H146" s="67"/>
      <c r="I146" s="242"/>
      <c r="J1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6" s="67"/>
    </row>
    <row r="147" spans="3:11" x14ac:dyDescent="0.3">
      <c r="C147" s="219" t="s">
        <v>1361</v>
      </c>
      <c r="D147" s="221">
        <v>8</v>
      </c>
      <c r="E147" s="255" t="s">
        <v>239</v>
      </c>
      <c r="F147" s="219">
        <v>3501</v>
      </c>
      <c r="G147" s="226"/>
      <c r="H147" s="67"/>
      <c r="I147" s="242"/>
      <c r="J1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7" s="67"/>
    </row>
    <row r="148" spans="3:11" x14ac:dyDescent="0.3">
      <c r="C148" s="219" t="s">
        <v>1362</v>
      </c>
      <c r="D148" s="221">
        <v>9</v>
      </c>
      <c r="E148" s="255" t="s">
        <v>239</v>
      </c>
      <c r="F148" s="219">
        <v>3501</v>
      </c>
      <c r="G148" s="226"/>
      <c r="H148" s="67"/>
      <c r="I148" s="242"/>
      <c r="J1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8" s="67"/>
    </row>
    <row r="149" spans="3:11" x14ac:dyDescent="0.3">
      <c r="C149" s="219" t="s">
        <v>1363</v>
      </c>
      <c r="D149" s="221">
        <v>10</v>
      </c>
      <c r="E149" s="255" t="s">
        <v>239</v>
      </c>
      <c r="F149" s="219">
        <v>3501</v>
      </c>
      <c r="G149" s="226"/>
      <c r="H149" s="67"/>
      <c r="I149" s="242"/>
      <c r="J1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9" s="67"/>
    </row>
    <row r="150" spans="3:11" x14ac:dyDescent="0.3">
      <c r="C150" s="219" t="s">
        <v>1364</v>
      </c>
      <c r="D150" s="221">
        <v>11</v>
      </c>
      <c r="E150" s="255" t="s">
        <v>239</v>
      </c>
      <c r="F150" s="219">
        <v>3501</v>
      </c>
      <c r="G150" s="226"/>
      <c r="H150" s="67"/>
      <c r="I150" s="242"/>
      <c r="J1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0" s="67"/>
    </row>
    <row r="151" spans="3:11" x14ac:dyDescent="0.3">
      <c r="C151" s="219" t="s">
        <v>1365</v>
      </c>
      <c r="D151" s="221">
        <v>12</v>
      </c>
      <c r="E151" s="255" t="s">
        <v>239</v>
      </c>
      <c r="F151" s="219">
        <v>3501</v>
      </c>
      <c r="G151" s="226"/>
      <c r="H151" s="67"/>
      <c r="I151" s="242"/>
      <c r="J1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1" s="67"/>
    </row>
    <row r="152" spans="3:11" x14ac:dyDescent="0.3">
      <c r="C152" s="219" t="s">
        <v>1366</v>
      </c>
      <c r="D152" s="221">
        <v>13</v>
      </c>
      <c r="E152" s="255" t="s">
        <v>239</v>
      </c>
      <c r="F152" s="219">
        <v>3501</v>
      </c>
      <c r="G152" s="226"/>
      <c r="H152" s="67"/>
      <c r="I152" s="242"/>
      <c r="J1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2" s="67"/>
    </row>
    <row r="153" spans="3:11" x14ac:dyDescent="0.3">
      <c r="C153" s="219" t="s">
        <v>1367</v>
      </c>
      <c r="D153" s="221">
        <v>14</v>
      </c>
      <c r="E153" s="255" t="s">
        <v>239</v>
      </c>
      <c r="F153" s="219">
        <v>3501</v>
      </c>
      <c r="G153" s="226"/>
      <c r="H153" s="67"/>
      <c r="I153" s="242"/>
      <c r="J1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3" s="67"/>
    </row>
    <row r="154" spans="3:11" x14ac:dyDescent="0.3">
      <c r="C154" s="219" t="s">
        <v>1368</v>
      </c>
      <c r="D154" s="221">
        <v>15</v>
      </c>
      <c r="E154" s="255" t="s">
        <v>239</v>
      </c>
      <c r="F154" s="219">
        <v>3501</v>
      </c>
      <c r="G154" s="226"/>
      <c r="H154" s="67"/>
      <c r="I154" s="242"/>
      <c r="J1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4" s="67"/>
    </row>
    <row r="155" spans="3:11" x14ac:dyDescent="0.3">
      <c r="C155" s="219" t="s">
        <v>1369</v>
      </c>
      <c r="D155" s="221">
        <v>16</v>
      </c>
      <c r="E155" s="255" t="s">
        <v>239</v>
      </c>
      <c r="F155" s="219">
        <v>3501</v>
      </c>
      <c r="G155" s="226"/>
      <c r="H155" s="67"/>
      <c r="I155" s="242"/>
      <c r="J1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5" s="67"/>
    </row>
    <row r="156" spans="3:11" x14ac:dyDescent="0.3">
      <c r="C156" s="219" t="s">
        <v>1370</v>
      </c>
      <c r="D156" s="221">
        <v>17</v>
      </c>
      <c r="E156" s="255" t="s">
        <v>239</v>
      </c>
      <c r="F156" s="219">
        <v>3501</v>
      </c>
      <c r="G156" s="226"/>
      <c r="H156" s="67"/>
      <c r="I156" s="242" t="s">
        <v>1758</v>
      </c>
      <c r="J1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56" s="67"/>
    </row>
    <row r="157" spans="3:11" x14ac:dyDescent="0.3">
      <c r="C157" s="219" t="s">
        <v>1371</v>
      </c>
      <c r="D157" s="221">
        <v>18</v>
      </c>
      <c r="E157" s="255" t="s">
        <v>239</v>
      </c>
      <c r="F157" s="219">
        <v>3501</v>
      </c>
      <c r="G157" s="226"/>
      <c r="H157" s="67"/>
      <c r="I157" s="242"/>
      <c r="J1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7" s="67"/>
    </row>
    <row r="158" spans="3:11" x14ac:dyDescent="0.3">
      <c r="C158" s="219" t="s">
        <v>1372</v>
      </c>
      <c r="D158" s="221">
        <v>19</v>
      </c>
      <c r="E158" s="255" t="s">
        <v>239</v>
      </c>
      <c r="F158" s="219">
        <v>3501</v>
      </c>
      <c r="G158" s="226"/>
      <c r="H158" s="67"/>
      <c r="I158" s="242"/>
      <c r="J1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8" s="67"/>
    </row>
    <row r="159" spans="3:11" x14ac:dyDescent="0.3">
      <c r="C159" s="219" t="s">
        <v>1373</v>
      </c>
      <c r="D159" s="221">
        <v>20</v>
      </c>
      <c r="E159" s="255" t="s">
        <v>239</v>
      </c>
      <c r="F159" s="219">
        <v>3501</v>
      </c>
      <c r="G159" s="226"/>
      <c r="H159" s="67"/>
      <c r="I159" s="242"/>
      <c r="J1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9" s="67"/>
    </row>
    <row r="160" spans="3:11" x14ac:dyDescent="0.3">
      <c r="C160" s="219" t="s">
        <v>1374</v>
      </c>
      <c r="D160" s="221">
        <v>21</v>
      </c>
      <c r="E160" s="255" t="s">
        <v>239</v>
      </c>
      <c r="F160" s="219">
        <v>3501</v>
      </c>
      <c r="G160" s="226"/>
      <c r="H160" s="67"/>
      <c r="I160" s="242"/>
      <c r="J1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0" s="67"/>
    </row>
    <row r="161" spans="3:11" x14ac:dyDescent="0.3">
      <c r="C161" s="219" t="s">
        <v>1375</v>
      </c>
      <c r="D161" s="221">
        <v>22</v>
      </c>
      <c r="E161" s="255" t="s">
        <v>239</v>
      </c>
      <c r="F161" s="219">
        <v>3501</v>
      </c>
      <c r="G161" s="226"/>
      <c r="H161" s="67"/>
      <c r="I161" s="242"/>
      <c r="J1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1" s="67"/>
    </row>
    <row r="162" spans="3:11" x14ac:dyDescent="0.3">
      <c r="C162" s="219" t="s">
        <v>1376</v>
      </c>
      <c r="D162" s="221">
        <v>23</v>
      </c>
      <c r="E162" s="255" t="s">
        <v>239</v>
      </c>
      <c r="F162" s="219">
        <v>3501</v>
      </c>
      <c r="G162" s="226"/>
      <c r="H162" s="67"/>
      <c r="I162" s="242"/>
      <c r="J1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2" s="67"/>
    </row>
    <row r="163" spans="3:11" x14ac:dyDescent="0.3">
      <c r="C163" s="219" t="s">
        <v>1377</v>
      </c>
      <c r="D163" s="221">
        <v>24</v>
      </c>
      <c r="E163" s="255" t="s">
        <v>239</v>
      </c>
      <c r="F163" s="219">
        <v>3501</v>
      </c>
      <c r="G163" s="226"/>
      <c r="H163" s="67"/>
      <c r="I163" s="242"/>
      <c r="J1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3" s="67"/>
    </row>
    <row r="164" spans="3:11" x14ac:dyDescent="0.3">
      <c r="C164" s="219" t="s">
        <v>1378</v>
      </c>
      <c r="D164" s="221">
        <v>25</v>
      </c>
      <c r="E164" s="255" t="s">
        <v>239</v>
      </c>
      <c r="F164" s="219">
        <v>3501</v>
      </c>
      <c r="G164" s="226"/>
      <c r="H164" s="67"/>
      <c r="I164" s="242"/>
      <c r="J1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4" s="67"/>
    </row>
    <row r="165" spans="3:11" x14ac:dyDescent="0.3">
      <c r="C165" s="219" t="s">
        <v>1379</v>
      </c>
      <c r="D165" s="221">
        <v>1</v>
      </c>
      <c r="E165" s="213" t="s">
        <v>1093</v>
      </c>
      <c r="F165" s="219">
        <v>3502</v>
      </c>
      <c r="G165" s="226"/>
      <c r="H165" s="67"/>
      <c r="I165" s="242" t="s">
        <v>1758</v>
      </c>
      <c r="J1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5" s="67"/>
    </row>
    <row r="166" spans="3:11" x14ac:dyDescent="0.3">
      <c r="C166" s="219" t="s">
        <v>1380</v>
      </c>
      <c r="D166" s="221">
        <v>2</v>
      </c>
      <c r="E166" s="213" t="s">
        <v>1093</v>
      </c>
      <c r="F166" s="219">
        <v>3502</v>
      </c>
      <c r="G166" s="226"/>
      <c r="H166" s="67"/>
      <c r="I166" s="242"/>
      <c r="J1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6" s="67"/>
    </row>
    <row r="167" spans="3:11" x14ac:dyDescent="0.3">
      <c r="C167" s="219" t="s">
        <v>1381</v>
      </c>
      <c r="D167" s="221">
        <v>3</v>
      </c>
      <c r="E167" s="213" t="s">
        <v>1093</v>
      </c>
      <c r="F167" s="219">
        <v>3502</v>
      </c>
      <c r="G167" s="226"/>
      <c r="H167" s="67"/>
      <c r="I167" s="242" t="s">
        <v>1758</v>
      </c>
      <c r="J1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7" s="67"/>
    </row>
    <row r="168" spans="3:11" x14ac:dyDescent="0.3">
      <c r="C168" s="219" t="s">
        <v>1382</v>
      </c>
      <c r="D168" s="221">
        <v>4</v>
      </c>
      <c r="E168" s="213" t="s">
        <v>1093</v>
      </c>
      <c r="F168" s="219">
        <v>3502</v>
      </c>
      <c r="G168" s="226"/>
      <c r="H168" s="67"/>
      <c r="I168" s="242"/>
      <c r="J1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8" s="67"/>
    </row>
    <row r="169" spans="3:11" x14ac:dyDescent="0.3">
      <c r="C169" s="219" t="s">
        <v>1383</v>
      </c>
      <c r="D169" s="221">
        <v>5</v>
      </c>
      <c r="E169" s="213" t="s">
        <v>1093</v>
      </c>
      <c r="F169" s="219">
        <v>3502</v>
      </c>
      <c r="G169" s="226"/>
      <c r="H169" s="67"/>
      <c r="I169" s="242"/>
      <c r="J1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9" s="67"/>
    </row>
    <row r="170" spans="3:11" x14ac:dyDescent="0.3">
      <c r="C170" s="219" t="s">
        <v>1427</v>
      </c>
      <c r="D170" s="221">
        <v>1</v>
      </c>
      <c r="E170" s="212" t="s">
        <v>1416</v>
      </c>
      <c r="F170" s="219">
        <v>4101</v>
      </c>
      <c r="G170" s="226"/>
      <c r="H170" s="67"/>
      <c r="I170" s="242" t="s">
        <v>1758</v>
      </c>
      <c r="J1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0" s="67"/>
    </row>
    <row r="171" spans="3:11" x14ac:dyDescent="0.3">
      <c r="C171" s="219" t="s">
        <v>1428</v>
      </c>
      <c r="D171" s="221">
        <v>2</v>
      </c>
      <c r="E171" s="212" t="s">
        <v>1416</v>
      </c>
      <c r="F171" s="219">
        <v>4101</v>
      </c>
      <c r="G171" s="226"/>
      <c r="H171" s="67"/>
      <c r="I171" s="242"/>
      <c r="J1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1" s="67"/>
    </row>
    <row r="172" spans="3:11" x14ac:dyDescent="0.3">
      <c r="C172" s="219" t="s">
        <v>1429</v>
      </c>
      <c r="D172" s="221">
        <v>3</v>
      </c>
      <c r="E172" s="212" t="s">
        <v>1416</v>
      </c>
      <c r="F172" s="219">
        <v>4101</v>
      </c>
      <c r="G172" s="226"/>
      <c r="H172" s="67"/>
      <c r="I172" s="242" t="s">
        <v>1758</v>
      </c>
      <c r="J1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2" s="67"/>
    </row>
    <row r="173" spans="3:11" x14ac:dyDescent="0.3">
      <c r="C173" s="219" t="s">
        <v>1430</v>
      </c>
      <c r="D173" s="221">
        <v>4</v>
      </c>
      <c r="E173" s="212" t="s">
        <v>1416</v>
      </c>
      <c r="F173" s="219">
        <v>4101</v>
      </c>
      <c r="G173" s="226"/>
      <c r="H173" s="67"/>
      <c r="I173" s="242"/>
      <c r="J1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3" s="67"/>
    </row>
    <row r="174" spans="3:11" x14ac:dyDescent="0.3">
      <c r="C174" s="219" t="s">
        <v>1431</v>
      </c>
      <c r="D174" s="221">
        <v>5</v>
      </c>
      <c r="E174" s="212" t="s">
        <v>1416</v>
      </c>
      <c r="F174" s="219">
        <v>4101</v>
      </c>
      <c r="G174" s="226"/>
      <c r="H174" s="67"/>
      <c r="I174" s="242"/>
      <c r="J1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4" s="67"/>
    </row>
    <row r="175" spans="3:11" ht="17.25" x14ac:dyDescent="0.35">
      <c r="C175" s="219" t="s">
        <v>2779</v>
      </c>
      <c r="D175" s="221">
        <v>1</v>
      </c>
      <c r="E175" s="223" t="s">
        <v>2768</v>
      </c>
      <c r="F175" s="219">
        <v>4621</v>
      </c>
      <c r="G175" s="226"/>
      <c r="H175" s="67" t="s">
        <v>236</v>
      </c>
      <c r="I175" s="59" t="s">
        <v>2806</v>
      </c>
      <c r="J1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PREP_COC2_1 - TIEMPO - Tiempo aclarado</v>
      </c>
      <c r="K175" s="67"/>
    </row>
    <row r="176" spans="3:11" ht="17.25" x14ac:dyDescent="0.35">
      <c r="C176" s="219" t="s">
        <v>2780</v>
      </c>
      <c r="D176" s="221">
        <v>2</v>
      </c>
      <c r="E176" s="223" t="s">
        <v>2768</v>
      </c>
      <c r="F176" s="219">
        <v>4621</v>
      </c>
      <c r="G176" s="226"/>
      <c r="H176" s="67" t="s">
        <v>236</v>
      </c>
      <c r="I176" s="59" t="s">
        <v>2807</v>
      </c>
      <c r="J1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PREP_COC2_1 - TIEMPO - Tiempo maximo drenaje</v>
      </c>
      <c r="K176" s="67"/>
    </row>
    <row r="177" spans="3:11" ht="17.25" x14ac:dyDescent="0.35">
      <c r="C177" s="219" t="s">
        <v>2781</v>
      </c>
      <c r="D177" s="221">
        <v>3</v>
      </c>
      <c r="E177" s="223" t="s">
        <v>2768</v>
      </c>
      <c r="F177" s="219">
        <v>4621</v>
      </c>
      <c r="G177" s="226"/>
      <c r="H177" s="67" t="s">
        <v>236</v>
      </c>
      <c r="I177" s="59" t="s">
        <v>2808</v>
      </c>
      <c r="J1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PREP_COC2_1 - TIEMPO - Tiempo maximo empuje</v>
      </c>
      <c r="K177" s="67"/>
    </row>
    <row r="178" spans="3:11" ht="17.25" x14ac:dyDescent="0.35">
      <c r="C178" s="219" t="s">
        <v>2782</v>
      </c>
      <c r="D178" s="221">
        <v>4</v>
      </c>
      <c r="E178" s="223" t="s">
        <v>2768</v>
      </c>
      <c r="F178" s="219">
        <v>4621</v>
      </c>
      <c r="G178" s="226"/>
      <c r="H178" s="67" t="s">
        <v>236</v>
      </c>
      <c r="I178" s="59" t="s">
        <v>2809</v>
      </c>
      <c r="J1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PREP_COC2_1 - TIEMPO - Tiempo alarma fallo caudal valvula empuje</v>
      </c>
      <c r="K178" s="67"/>
    </row>
    <row r="179" spans="3:11" x14ac:dyDescent="0.3">
      <c r="C179" s="219" t="s">
        <v>2783</v>
      </c>
      <c r="D179" s="221">
        <v>5</v>
      </c>
      <c r="E179" s="223" t="s">
        <v>2768</v>
      </c>
      <c r="F179" s="219">
        <v>4621</v>
      </c>
      <c r="G179" s="226"/>
      <c r="H179" s="67"/>
      <c r="I179" s="242"/>
      <c r="J1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179" s="67"/>
    </row>
    <row r="180" spans="3:11" x14ac:dyDescent="0.3">
      <c r="C180" s="219" t="s">
        <v>2784</v>
      </c>
      <c r="D180" s="221">
        <v>6</v>
      </c>
      <c r="E180" s="223" t="s">
        <v>2768</v>
      </c>
      <c r="F180" s="219">
        <v>4621</v>
      </c>
      <c r="G180" s="226"/>
      <c r="H180" s="67"/>
      <c r="I180" s="242"/>
      <c r="J1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180" s="67"/>
    </row>
    <row r="181" spans="3:11" x14ac:dyDescent="0.3">
      <c r="C181" s="219" t="s">
        <v>2785</v>
      </c>
      <c r="D181" s="221">
        <v>7</v>
      </c>
      <c r="E181" s="223" t="s">
        <v>2768</v>
      </c>
      <c r="F181" s="219">
        <v>4621</v>
      </c>
      <c r="G181" s="226"/>
      <c r="H181" s="67"/>
      <c r="I181" s="242"/>
      <c r="J1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181" s="67"/>
    </row>
    <row r="182" spans="3:11" x14ac:dyDescent="0.3">
      <c r="C182" s="219" t="s">
        <v>2786</v>
      </c>
      <c r="D182" s="221">
        <v>8</v>
      </c>
      <c r="E182" s="223" t="s">
        <v>2768</v>
      </c>
      <c r="F182" s="219">
        <v>4621</v>
      </c>
      <c r="G182" s="226"/>
      <c r="H182" s="67"/>
      <c r="I182" s="242"/>
      <c r="J1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182" s="67"/>
    </row>
    <row r="183" spans="3:11" x14ac:dyDescent="0.3">
      <c r="C183" s="219" t="s">
        <v>2787</v>
      </c>
      <c r="D183" s="221">
        <v>9</v>
      </c>
      <c r="E183" s="223" t="s">
        <v>2768</v>
      </c>
      <c r="F183" s="219">
        <v>4621</v>
      </c>
      <c r="G183" s="226"/>
      <c r="H183" s="67"/>
      <c r="I183" s="242"/>
      <c r="J1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183" s="67"/>
    </row>
    <row r="184" spans="3:11" x14ac:dyDescent="0.3">
      <c r="C184" s="219" t="s">
        <v>2788</v>
      </c>
      <c r="D184" s="221">
        <v>10</v>
      </c>
      <c r="E184" s="223" t="s">
        <v>2768</v>
      </c>
      <c r="F184" s="219">
        <v>4621</v>
      </c>
      <c r="G184" s="226"/>
      <c r="H184" s="67"/>
      <c r="I184" s="242"/>
      <c r="J1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184" s="67"/>
    </row>
  </sheetData>
  <mergeCells count="2">
    <mergeCell ref="L1:L6"/>
    <mergeCell ref="B2:C2"/>
  </mergeCells>
  <phoneticPr fontId="23" type="noConversion"/>
  <conditionalFormatting sqref="K10:K184">
    <cfRule type="cellIs" dxfId="220" priority="5" operator="equal">
      <formula>"X"</formula>
    </cfRule>
  </conditionalFormatting>
  <conditionalFormatting sqref="C10:D184 F10:F184 J10:J184">
    <cfRule type="cellIs" dxfId="219" priority="4" operator="notEqual">
      <formula>""""""</formula>
    </cfRule>
  </conditionalFormatting>
  <dataValidations xWindow="558" yWindow="793" count="4">
    <dataValidation allowBlank="1" showInputMessage="1" showErrorMessage="1" promptTitle="Generacion automatica" prompt="No modificar." sqref="C10:F184 J10:J184" xr:uid="{7EE123BD-AAD7-4177-A519-1E1FE299485D}"/>
    <dataValidation type="list" allowBlank="1" showInputMessage="1" showErrorMessage="1" promptTitle="Tipo de parametro" prompt="Selecciona de la lista desplegable" sqref="H10:H184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184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184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53"/>
  <sheetViews>
    <sheetView showGridLines="0" zoomScale="85" zoomScaleNormal="85" workbookViewId="0">
      <pane ySplit="9" topLeftCell="A124" activePane="bottomLeft" state="frozen"/>
      <selection pane="bottomLeft" activeCell="C138" sqref="C138:H153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97" style="89" customWidth="1"/>
    <col min="8" max="8" width="69.28515625" style="47" bestFit="1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86"/>
      <c r="E1" s="46"/>
      <c r="F1" s="46"/>
      <c r="G1" s="86"/>
      <c r="H1" s="202"/>
      <c r="I1" s="261"/>
    </row>
    <row r="2" spans="1:9" ht="16.5" customHeight="1" x14ac:dyDescent="0.35">
      <c r="A2" s="48"/>
      <c r="B2" s="262">
        <f>PORTADA!D46</f>
        <v>26000</v>
      </c>
      <c r="C2" s="262"/>
      <c r="D2" s="87"/>
      <c r="E2" s="202"/>
      <c r="F2" s="202"/>
      <c r="G2" s="87"/>
      <c r="H2" s="202"/>
      <c r="I2" s="261"/>
    </row>
    <row r="3" spans="1:9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88"/>
      <c r="H3" s="202"/>
      <c r="I3" s="261"/>
    </row>
    <row r="4" spans="1:9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88"/>
      <c r="H4" s="202"/>
      <c r="I4" s="261"/>
    </row>
    <row r="5" spans="1:9" ht="12.75" customHeight="1" x14ac:dyDescent="0.35">
      <c r="A5" s="46"/>
      <c r="B5" s="46"/>
      <c r="C5" s="52"/>
      <c r="D5" s="86"/>
      <c r="E5" s="52"/>
      <c r="F5" s="52"/>
      <c r="G5" s="86"/>
      <c r="H5" s="202"/>
      <c r="I5" s="261"/>
    </row>
    <row r="6" spans="1:9" ht="18" customHeight="1" x14ac:dyDescent="0.35">
      <c r="A6" s="46"/>
      <c r="B6" s="53" t="s">
        <v>1103</v>
      </c>
      <c r="C6" s="51"/>
      <c r="D6" s="87"/>
      <c r="E6" s="51"/>
      <c r="F6" s="51"/>
      <c r="G6" s="87"/>
      <c r="H6" s="202"/>
      <c r="I6" s="261"/>
    </row>
    <row r="7" spans="1:9" ht="12.75" customHeight="1" x14ac:dyDescent="0.35">
      <c r="A7" s="46"/>
      <c r="B7" s="46"/>
      <c r="C7" s="52"/>
      <c r="D7" s="86"/>
      <c r="E7" s="86"/>
      <c r="F7" s="203"/>
      <c r="G7" s="218"/>
      <c r="H7" s="202"/>
      <c r="I7" s="203" t="str">
        <f>PORTADA!E50</f>
        <v>V0.01</v>
      </c>
    </row>
    <row r="9" spans="1:9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419</v>
      </c>
      <c r="H9" s="217" t="s">
        <v>1690</v>
      </c>
    </row>
    <row r="10" spans="1:9" x14ac:dyDescent="0.3">
      <c r="C10" s="219" t="s">
        <v>2002</v>
      </c>
      <c r="D10" s="221">
        <v>1</v>
      </c>
      <c r="E10" s="223" t="s">
        <v>1102</v>
      </c>
      <c r="F10" s="219">
        <v>5001</v>
      </c>
      <c r="G10" s="230"/>
      <c r="H10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19" t="s">
        <v>2003</v>
      </c>
      <c r="D11" s="221">
        <v>2</v>
      </c>
      <c r="E11" s="223" t="s">
        <v>1102</v>
      </c>
      <c r="F11" s="219">
        <v>5001</v>
      </c>
      <c r="G11" s="230"/>
      <c r="H11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19" t="s">
        <v>2004</v>
      </c>
      <c r="D12" s="221">
        <v>3</v>
      </c>
      <c r="E12" s="223" t="s">
        <v>1102</v>
      </c>
      <c r="F12" s="219">
        <v>5001</v>
      </c>
      <c r="G12" s="230"/>
      <c r="H12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19" t="s">
        <v>2005</v>
      </c>
      <c r="D13" s="221">
        <v>4</v>
      </c>
      <c r="E13" s="223" t="s">
        <v>1102</v>
      </c>
      <c r="F13" s="219">
        <v>5001</v>
      </c>
      <c r="G13" s="230"/>
      <c r="H13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19" t="s">
        <v>2006</v>
      </c>
      <c r="D14" s="221">
        <v>5</v>
      </c>
      <c r="E14" s="223" t="s">
        <v>1102</v>
      </c>
      <c r="F14" s="219">
        <v>5001</v>
      </c>
      <c r="G14" s="230"/>
      <c r="H14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19" t="s">
        <v>2007</v>
      </c>
      <c r="D15" s="221">
        <v>6</v>
      </c>
      <c r="E15" s="223" t="s">
        <v>1102</v>
      </c>
      <c r="F15" s="219">
        <v>5001</v>
      </c>
      <c r="G15" s="230"/>
      <c r="H15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19" t="s">
        <v>2008</v>
      </c>
      <c r="D16" s="221">
        <v>7</v>
      </c>
      <c r="E16" s="223" t="s">
        <v>1102</v>
      </c>
      <c r="F16" s="219">
        <v>5001</v>
      </c>
      <c r="G16" s="230"/>
      <c r="H16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19" t="s">
        <v>2009</v>
      </c>
      <c r="D17" s="221">
        <v>8</v>
      </c>
      <c r="E17" s="223" t="s">
        <v>1102</v>
      </c>
      <c r="F17" s="219">
        <v>5001</v>
      </c>
      <c r="G17" s="230"/>
      <c r="H17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19" t="s">
        <v>1384</v>
      </c>
      <c r="D18" s="221">
        <v>1</v>
      </c>
      <c r="E18" s="253" t="s">
        <v>233</v>
      </c>
      <c r="F18" s="219">
        <v>5100</v>
      </c>
      <c r="G18" s="230" t="s">
        <v>2527</v>
      </c>
      <c r="H18" s="224" t="str">
        <f>Tabla_Alarmas[[#This Row],[Proceso]] &amp; IF(Tabla_Alarmas[[#This Row],[Numero]]&lt;10,"_ALM00","_ALM0")  &amp; Tabla_Alarmas[[#This Row],[Numero]] &amp; " - " &amp; Tabla_Alarmas[[#This Row],[Descripcion]]</f>
        <v>COMPACTO_ALM001 - Proceso en error</v>
      </c>
    </row>
    <row r="19" spans="3:8" x14ac:dyDescent="0.3">
      <c r="C19" s="219" t="s">
        <v>1385</v>
      </c>
      <c r="D19" s="221">
        <v>2</v>
      </c>
      <c r="E19" s="253" t="s">
        <v>233</v>
      </c>
      <c r="F19" s="219">
        <v>5100</v>
      </c>
      <c r="G19" s="230" t="s">
        <v>2528</v>
      </c>
      <c r="H19" s="224" t="str">
        <f>Tabla_Alarmas[[#This Row],[Proceso]] &amp; IF(Tabla_Alarmas[[#This Row],[Numero]]&lt;10,"_ALM00","_ALM0")  &amp; Tabla_Alarmas[[#This Row],[Numero]] &amp; " - " &amp; Tabla_Alarmas[[#This Row],[Descripcion]]</f>
        <v>COMPACTO_ALM002 - Alarma 2</v>
      </c>
    </row>
    <row r="20" spans="3:8" x14ac:dyDescent="0.3">
      <c r="C20" s="219" t="s">
        <v>1386</v>
      </c>
      <c r="D20" s="221">
        <v>3</v>
      </c>
      <c r="E20" s="253" t="s">
        <v>233</v>
      </c>
      <c r="F20" s="219">
        <v>5100</v>
      </c>
      <c r="G20" s="230" t="s">
        <v>2529</v>
      </c>
      <c r="H20" s="224" t="str">
        <f>Tabla_Alarmas[[#This Row],[Proceso]] &amp; IF(Tabla_Alarmas[[#This Row],[Numero]]&lt;10,"_ALM00","_ALM0")  &amp; Tabla_Alarmas[[#This Row],[Numero]] &amp; " - " &amp; Tabla_Alarmas[[#This Row],[Descripcion]]</f>
        <v>COMPACTO_ALM003 - Alarma 3</v>
      </c>
    </row>
    <row r="21" spans="3:8" x14ac:dyDescent="0.3">
      <c r="C21" s="219" t="s">
        <v>1387</v>
      </c>
      <c r="D21" s="221">
        <v>4</v>
      </c>
      <c r="E21" s="253" t="s">
        <v>233</v>
      </c>
      <c r="F21" s="219">
        <v>5100</v>
      </c>
      <c r="G21" s="230" t="s">
        <v>2530</v>
      </c>
      <c r="H21" s="224" t="str">
        <f>Tabla_Alarmas[[#This Row],[Proceso]] &amp; IF(Tabla_Alarmas[[#This Row],[Numero]]&lt;10,"_ALM00","_ALM0")  &amp; Tabla_Alarmas[[#This Row],[Numero]] &amp; " - " &amp; Tabla_Alarmas[[#This Row],[Descripcion]]</f>
        <v>COMPACTO_ALM004 - Alarma 4</v>
      </c>
    </row>
    <row r="22" spans="3:8" x14ac:dyDescent="0.3">
      <c r="C22" s="219" t="s">
        <v>1388</v>
      </c>
      <c r="D22" s="221">
        <v>5</v>
      </c>
      <c r="E22" s="253" t="s">
        <v>233</v>
      </c>
      <c r="F22" s="219">
        <v>5100</v>
      </c>
      <c r="G22" s="230" t="s">
        <v>2531</v>
      </c>
      <c r="H22" s="224" t="str">
        <f>Tabla_Alarmas[[#This Row],[Proceso]] &amp; IF(Tabla_Alarmas[[#This Row],[Numero]]&lt;10,"_ALM00","_ALM0")  &amp; Tabla_Alarmas[[#This Row],[Numero]] &amp; " - " &amp; Tabla_Alarmas[[#This Row],[Descripcion]]</f>
        <v>COMPACTO_ALM005 - Alarma 5</v>
      </c>
    </row>
    <row r="23" spans="3:8" x14ac:dyDescent="0.3">
      <c r="C23" s="219" t="s">
        <v>1389</v>
      </c>
      <c r="D23" s="221">
        <v>6</v>
      </c>
      <c r="E23" s="253" t="s">
        <v>233</v>
      </c>
      <c r="F23" s="219">
        <v>5100</v>
      </c>
      <c r="G23" s="230" t="s">
        <v>2532</v>
      </c>
      <c r="H23" s="224" t="str">
        <f>Tabla_Alarmas[[#This Row],[Proceso]] &amp; IF(Tabla_Alarmas[[#This Row],[Numero]]&lt;10,"_ALM00","_ALM0")  &amp; Tabla_Alarmas[[#This Row],[Numero]] &amp; " - " &amp; Tabla_Alarmas[[#This Row],[Descripcion]]</f>
        <v>COMPACTO_ALM006 - Alarma 6</v>
      </c>
    </row>
    <row r="24" spans="3:8" x14ac:dyDescent="0.3">
      <c r="C24" s="219" t="s">
        <v>1390</v>
      </c>
      <c r="D24" s="221">
        <v>7</v>
      </c>
      <c r="E24" s="253" t="s">
        <v>233</v>
      </c>
      <c r="F24" s="219">
        <v>5100</v>
      </c>
      <c r="G24" s="230" t="s">
        <v>2533</v>
      </c>
      <c r="H24" s="224" t="str">
        <f>Tabla_Alarmas[[#This Row],[Proceso]] &amp; IF(Tabla_Alarmas[[#This Row],[Numero]]&lt;10,"_ALM00","_ALM0")  &amp; Tabla_Alarmas[[#This Row],[Numero]] &amp; " - " &amp; Tabla_Alarmas[[#This Row],[Descripcion]]</f>
        <v>COMPACTO_ALM007 - Alarma 7</v>
      </c>
    </row>
    <row r="25" spans="3:8" x14ac:dyDescent="0.3">
      <c r="C25" s="219" t="s">
        <v>1391</v>
      </c>
      <c r="D25" s="221">
        <v>8</v>
      </c>
      <c r="E25" s="253" t="s">
        <v>233</v>
      </c>
      <c r="F25" s="219">
        <v>5100</v>
      </c>
      <c r="G25" s="230" t="s">
        <v>2534</v>
      </c>
      <c r="H25" s="224" t="str">
        <f>Tabla_Alarmas[[#This Row],[Proceso]] &amp; IF(Tabla_Alarmas[[#This Row],[Numero]]&lt;10,"_ALM00","_ALM0")  &amp; Tabla_Alarmas[[#This Row],[Numero]] &amp; " - " &amp; Tabla_Alarmas[[#This Row],[Descripcion]]</f>
        <v>COMPACTO_ALM008 - Alarma 8</v>
      </c>
    </row>
    <row r="26" spans="3:8" x14ac:dyDescent="0.3">
      <c r="C26" s="219" t="s">
        <v>1392</v>
      </c>
      <c r="D26" s="221">
        <v>9</v>
      </c>
      <c r="E26" s="253" t="s">
        <v>233</v>
      </c>
      <c r="F26" s="219">
        <v>5100</v>
      </c>
      <c r="G26" s="230" t="s">
        <v>2535</v>
      </c>
      <c r="H26" s="224" t="str">
        <f>Tabla_Alarmas[[#This Row],[Proceso]] &amp; IF(Tabla_Alarmas[[#This Row],[Numero]]&lt;10,"_ALM00","_ALM0")  &amp; Tabla_Alarmas[[#This Row],[Numero]] &amp; " - " &amp; Tabla_Alarmas[[#This Row],[Descripcion]]</f>
        <v>COMPACTO_ALM009 - Alarma 9</v>
      </c>
    </row>
    <row r="27" spans="3:8" x14ac:dyDescent="0.3">
      <c r="C27" s="219" t="s">
        <v>1393</v>
      </c>
      <c r="D27" s="221">
        <v>10</v>
      </c>
      <c r="E27" s="253" t="s">
        <v>233</v>
      </c>
      <c r="F27" s="219">
        <v>5100</v>
      </c>
      <c r="G27" s="230" t="s">
        <v>2536</v>
      </c>
      <c r="H27" s="224" t="str">
        <f>Tabla_Alarmas[[#This Row],[Proceso]] &amp; IF(Tabla_Alarmas[[#This Row],[Numero]]&lt;10,"_ALM00","_ALM0")  &amp; Tabla_Alarmas[[#This Row],[Numero]] &amp; " - " &amp; Tabla_Alarmas[[#This Row],[Descripcion]]</f>
        <v>COMPACTO_ALM010 - Alarma 10</v>
      </c>
    </row>
    <row r="28" spans="3:8" x14ac:dyDescent="0.3">
      <c r="C28" s="219" t="s">
        <v>1394</v>
      </c>
      <c r="D28" s="221">
        <v>11</v>
      </c>
      <c r="E28" s="253" t="s">
        <v>233</v>
      </c>
      <c r="F28" s="219">
        <v>5100</v>
      </c>
      <c r="G28" s="230" t="s">
        <v>2537</v>
      </c>
      <c r="H28" s="224" t="str">
        <f>Tabla_Alarmas[[#This Row],[Proceso]] &amp; IF(Tabla_Alarmas[[#This Row],[Numero]]&lt;10,"_ALM00","_ALM0")  &amp; Tabla_Alarmas[[#This Row],[Numero]] &amp; " - " &amp; Tabla_Alarmas[[#This Row],[Descripcion]]</f>
        <v>COMPACTO_ALM011 - Alarma 11</v>
      </c>
    </row>
    <row r="29" spans="3:8" x14ac:dyDescent="0.3">
      <c r="C29" s="219" t="s">
        <v>1395</v>
      </c>
      <c r="D29" s="221">
        <v>12</v>
      </c>
      <c r="E29" s="253" t="s">
        <v>233</v>
      </c>
      <c r="F29" s="219">
        <v>5100</v>
      </c>
      <c r="G29" s="230" t="s">
        <v>2538</v>
      </c>
      <c r="H29" s="224" t="str">
        <f>Tabla_Alarmas[[#This Row],[Proceso]] &amp; IF(Tabla_Alarmas[[#This Row],[Numero]]&lt;10,"_ALM00","_ALM0")  &amp; Tabla_Alarmas[[#This Row],[Numero]] &amp; " - " &amp; Tabla_Alarmas[[#This Row],[Descripcion]]</f>
        <v>COMPACTO_ALM012 - Alarma 12</v>
      </c>
    </row>
    <row r="30" spans="3:8" x14ac:dyDescent="0.3">
      <c r="C30" s="219" t="s">
        <v>1396</v>
      </c>
      <c r="D30" s="221">
        <v>13</v>
      </c>
      <c r="E30" s="253" t="s">
        <v>233</v>
      </c>
      <c r="F30" s="219">
        <v>5100</v>
      </c>
      <c r="G30" s="230" t="s">
        <v>2539</v>
      </c>
      <c r="H30" s="224" t="str">
        <f>Tabla_Alarmas[[#This Row],[Proceso]] &amp; IF(Tabla_Alarmas[[#This Row],[Numero]]&lt;10,"_ALM00","_ALM0")  &amp; Tabla_Alarmas[[#This Row],[Numero]] &amp; " - " &amp; Tabla_Alarmas[[#This Row],[Descripcion]]</f>
        <v>COMPACTO_ALM013 - Alarma 13</v>
      </c>
    </row>
    <row r="31" spans="3:8" x14ac:dyDescent="0.3">
      <c r="C31" s="219" t="s">
        <v>1397</v>
      </c>
      <c r="D31" s="221">
        <v>14</v>
      </c>
      <c r="E31" s="253" t="s">
        <v>233</v>
      </c>
      <c r="F31" s="219">
        <v>5100</v>
      </c>
      <c r="G31" s="230" t="s">
        <v>2540</v>
      </c>
      <c r="H31" s="224" t="str">
        <f>Tabla_Alarmas[[#This Row],[Proceso]] &amp; IF(Tabla_Alarmas[[#This Row],[Numero]]&lt;10,"_ALM00","_ALM0")  &amp; Tabla_Alarmas[[#This Row],[Numero]] &amp; " - " &amp; Tabla_Alarmas[[#This Row],[Descripcion]]</f>
        <v>COMPACTO_ALM014 - Alarma 14</v>
      </c>
    </row>
    <row r="32" spans="3:8" x14ac:dyDescent="0.3">
      <c r="C32" s="219" t="s">
        <v>1398</v>
      </c>
      <c r="D32" s="221">
        <v>15</v>
      </c>
      <c r="E32" s="253" t="s">
        <v>233</v>
      </c>
      <c r="F32" s="219">
        <v>5100</v>
      </c>
      <c r="G32" s="230" t="s">
        <v>2541</v>
      </c>
      <c r="H32" s="224" t="str">
        <f>Tabla_Alarmas[[#This Row],[Proceso]] &amp; IF(Tabla_Alarmas[[#This Row],[Numero]]&lt;10,"_ALM00","_ALM0")  &amp; Tabla_Alarmas[[#This Row],[Numero]] &amp; " - " &amp; Tabla_Alarmas[[#This Row],[Descripcion]]</f>
        <v>COMPACTO_ALM015 - Alarma 15</v>
      </c>
    </row>
    <row r="33" spans="3:8" x14ac:dyDescent="0.3">
      <c r="C33" s="219" t="s">
        <v>1399</v>
      </c>
      <c r="D33" s="221">
        <v>16</v>
      </c>
      <c r="E33" s="253" t="s">
        <v>233</v>
      </c>
      <c r="F33" s="219">
        <v>5100</v>
      </c>
      <c r="G33" s="230" t="s">
        <v>2542</v>
      </c>
      <c r="H33" s="224" t="str">
        <f>Tabla_Alarmas[[#This Row],[Proceso]] &amp; IF(Tabla_Alarmas[[#This Row],[Numero]]&lt;10,"_ALM00","_ALM0")  &amp; Tabla_Alarmas[[#This Row],[Numero]] &amp; " - " &amp; Tabla_Alarmas[[#This Row],[Descripcion]]</f>
        <v>COMPACTO_ALM016 - Alarma 16</v>
      </c>
    </row>
    <row r="34" spans="3:8" x14ac:dyDescent="0.3">
      <c r="C34" s="219" t="s">
        <v>1400</v>
      </c>
      <c r="D34" s="221">
        <v>1</v>
      </c>
      <c r="E34" s="254" t="s">
        <v>238</v>
      </c>
      <c r="F34" s="219">
        <v>5110</v>
      </c>
      <c r="G34" s="230"/>
      <c r="H3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19" t="s">
        <v>1401</v>
      </c>
      <c r="D35" s="221">
        <v>2</v>
      </c>
      <c r="E35" s="254" t="s">
        <v>238</v>
      </c>
      <c r="F35" s="219">
        <v>5110</v>
      </c>
      <c r="G35" s="230"/>
      <c r="H3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19" t="s">
        <v>1402</v>
      </c>
      <c r="D36" s="221">
        <v>3</v>
      </c>
      <c r="E36" s="254" t="s">
        <v>238</v>
      </c>
      <c r="F36" s="219">
        <v>5110</v>
      </c>
      <c r="G36" s="230"/>
      <c r="H3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19" t="s">
        <v>1403</v>
      </c>
      <c r="D37" s="221">
        <v>4</v>
      </c>
      <c r="E37" s="254" t="s">
        <v>238</v>
      </c>
      <c r="F37" s="219">
        <v>5110</v>
      </c>
      <c r="G37" s="230"/>
      <c r="H3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19" t="s">
        <v>1404</v>
      </c>
      <c r="D38" s="221">
        <v>5</v>
      </c>
      <c r="E38" s="254" t="s">
        <v>238</v>
      </c>
      <c r="F38" s="219">
        <v>5110</v>
      </c>
      <c r="G38" s="230"/>
      <c r="H3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19" t="s">
        <v>1405</v>
      </c>
      <c r="D39" s="221">
        <v>6</v>
      </c>
      <c r="E39" s="254" t="s">
        <v>238</v>
      </c>
      <c r="F39" s="219">
        <v>5110</v>
      </c>
      <c r="G39" s="230"/>
      <c r="H3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19" t="s">
        <v>1406</v>
      </c>
      <c r="D40" s="221">
        <v>7</v>
      </c>
      <c r="E40" s="254" t="s">
        <v>238</v>
      </c>
      <c r="F40" s="219">
        <v>5110</v>
      </c>
      <c r="G40" s="230"/>
      <c r="H40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19" t="s">
        <v>1407</v>
      </c>
      <c r="D41" s="221">
        <v>8</v>
      </c>
      <c r="E41" s="254" t="s">
        <v>238</v>
      </c>
      <c r="F41" s="219">
        <v>5110</v>
      </c>
      <c r="G41" s="230"/>
      <c r="H41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19" t="s">
        <v>1408</v>
      </c>
      <c r="D42" s="221">
        <v>9</v>
      </c>
      <c r="E42" s="254" t="s">
        <v>238</v>
      </c>
      <c r="F42" s="219">
        <v>5110</v>
      </c>
      <c r="G42" s="230"/>
      <c r="H42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19" t="s">
        <v>1409</v>
      </c>
      <c r="D43" s="221">
        <v>10</v>
      </c>
      <c r="E43" s="254" t="s">
        <v>238</v>
      </c>
      <c r="F43" s="219">
        <v>5110</v>
      </c>
      <c r="G43" s="230"/>
      <c r="H43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19" t="s">
        <v>1410</v>
      </c>
      <c r="D44" s="221">
        <v>11</v>
      </c>
      <c r="E44" s="254" t="s">
        <v>238</v>
      </c>
      <c r="F44" s="219">
        <v>5110</v>
      </c>
      <c r="G44" s="230"/>
      <c r="H4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19" t="s">
        <v>1411</v>
      </c>
      <c r="D45" s="221">
        <v>12</v>
      </c>
      <c r="E45" s="254" t="s">
        <v>238</v>
      </c>
      <c r="F45" s="219">
        <v>5110</v>
      </c>
      <c r="G45" s="230"/>
      <c r="H4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19" t="s">
        <v>1412</v>
      </c>
      <c r="D46" s="221">
        <v>13</v>
      </c>
      <c r="E46" s="254" t="s">
        <v>238</v>
      </c>
      <c r="F46" s="219">
        <v>5110</v>
      </c>
      <c r="G46" s="230"/>
      <c r="H4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19" t="s">
        <v>1413</v>
      </c>
      <c r="D47" s="221">
        <v>14</v>
      </c>
      <c r="E47" s="254" t="s">
        <v>238</v>
      </c>
      <c r="F47" s="219">
        <v>5110</v>
      </c>
      <c r="G47" s="230"/>
      <c r="H4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19" t="s">
        <v>1414</v>
      </c>
      <c r="D48" s="221">
        <v>15</v>
      </c>
      <c r="E48" s="254" t="s">
        <v>238</v>
      </c>
      <c r="F48" s="219">
        <v>5110</v>
      </c>
      <c r="G48" s="230"/>
      <c r="H4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19" t="s">
        <v>1415</v>
      </c>
      <c r="D49" s="221">
        <v>16</v>
      </c>
      <c r="E49" s="254" t="s">
        <v>238</v>
      </c>
      <c r="F49" s="219">
        <v>5110</v>
      </c>
      <c r="G49" s="230"/>
      <c r="H4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19" t="s">
        <v>2683</v>
      </c>
      <c r="D50" s="221">
        <v>1</v>
      </c>
      <c r="E50" s="259" t="s">
        <v>2596</v>
      </c>
      <c r="F50" s="219">
        <v>5150</v>
      </c>
      <c r="G50" s="230" t="s">
        <v>2527</v>
      </c>
      <c r="H50" s="224" t="str">
        <f>Tabla_Alarmas[[#This Row],[Proceso]] &amp; IF(Tabla_Alarmas[[#This Row],[Numero]]&lt;10,"_ALM00","_ALM0")  &amp; Tabla_Alarmas[[#This Row],[Numero]] &amp; " - " &amp; Tabla_Alarmas[[#This Row],[Descripcion]]</f>
        <v>COMPACTO_2_ALM001 - Proceso en error</v>
      </c>
    </row>
    <row r="51" spans="3:8" x14ac:dyDescent="0.3">
      <c r="C51" s="219" t="s">
        <v>2684</v>
      </c>
      <c r="D51" s="221">
        <v>2</v>
      </c>
      <c r="E51" s="259" t="s">
        <v>2596</v>
      </c>
      <c r="F51" s="219">
        <v>5150</v>
      </c>
      <c r="G51" s="230" t="s">
        <v>2731</v>
      </c>
      <c r="H51" s="224" t="str">
        <f>Tabla_Alarmas[[#This Row],[Proceso]] &amp; IF(Tabla_Alarmas[[#This Row],[Numero]]&lt;10,"_ALM00","_ALM0")  &amp; Tabla_Alarmas[[#This Row],[Numero]] &amp; " - " &amp; Tabla_Alarmas[[#This Row],[Descripcion]]</f>
        <v>COMPACTO_2_ALM002 - Tiempo maximo descarga</v>
      </c>
    </row>
    <row r="52" spans="3:8" x14ac:dyDescent="0.3">
      <c r="C52" s="219" t="s">
        <v>2685</v>
      </c>
      <c r="D52" s="221">
        <v>3</v>
      </c>
      <c r="E52" s="259" t="s">
        <v>2596</v>
      </c>
      <c r="F52" s="219">
        <v>5150</v>
      </c>
      <c r="G52" s="230" t="s">
        <v>2732</v>
      </c>
      <c r="H52" s="224" t="str">
        <f>Tabla_Alarmas[[#This Row],[Proceso]] &amp; IF(Tabla_Alarmas[[#This Row],[Numero]]&lt;10,"_ALM00","_ALM0")  &amp; Tabla_Alarmas[[#This Row],[Numero]] &amp; " - " &amp; Tabla_Alarmas[[#This Row],[Descripcion]]</f>
        <v>COMPACTO_2_ALM003 - Presion maxima descarga</v>
      </c>
    </row>
    <row r="53" spans="3:8" x14ac:dyDescent="0.3">
      <c r="C53" s="219" t="s">
        <v>2686</v>
      </c>
      <c r="D53" s="221">
        <v>4</v>
      </c>
      <c r="E53" s="259" t="s">
        <v>2596</v>
      </c>
      <c r="F53" s="219">
        <v>5150</v>
      </c>
      <c r="G53" s="230"/>
      <c r="H5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COMPACTO_2_ALM004 - </v>
      </c>
    </row>
    <row r="54" spans="3:8" x14ac:dyDescent="0.3">
      <c r="C54" s="219" t="s">
        <v>2687</v>
      </c>
      <c r="D54" s="221">
        <v>5</v>
      </c>
      <c r="E54" s="259" t="s">
        <v>2596</v>
      </c>
      <c r="F54" s="219">
        <v>5150</v>
      </c>
      <c r="G54" s="230"/>
      <c r="H5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COMPACTO_2_ALM005 - </v>
      </c>
    </row>
    <row r="55" spans="3:8" x14ac:dyDescent="0.3">
      <c r="C55" s="219" t="s">
        <v>2688</v>
      </c>
      <c r="D55" s="221">
        <v>6</v>
      </c>
      <c r="E55" s="259" t="s">
        <v>2596</v>
      </c>
      <c r="F55" s="219">
        <v>5150</v>
      </c>
      <c r="G55" s="230"/>
      <c r="H5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COMPACTO_2_ALM006 - </v>
      </c>
    </row>
    <row r="56" spans="3:8" x14ac:dyDescent="0.3">
      <c r="C56" s="219" t="s">
        <v>2689</v>
      </c>
      <c r="D56" s="221">
        <v>7</v>
      </c>
      <c r="E56" s="259" t="s">
        <v>2596</v>
      </c>
      <c r="F56" s="219">
        <v>5150</v>
      </c>
      <c r="G56" s="230"/>
      <c r="H56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COMPACTO_2_ALM007 - </v>
      </c>
    </row>
    <row r="57" spans="3:8" x14ac:dyDescent="0.3">
      <c r="C57" s="219" t="s">
        <v>2690</v>
      </c>
      <c r="D57" s="221">
        <v>8</v>
      </c>
      <c r="E57" s="259" t="s">
        <v>2596</v>
      </c>
      <c r="F57" s="219">
        <v>5150</v>
      </c>
      <c r="G57" s="230"/>
      <c r="H57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COMPACTO_2_ALM008 - </v>
      </c>
    </row>
    <row r="58" spans="3:8" x14ac:dyDescent="0.3">
      <c r="C58" s="219" t="s">
        <v>2691</v>
      </c>
      <c r="D58" s="221">
        <v>9</v>
      </c>
      <c r="E58" s="259" t="s">
        <v>2596</v>
      </c>
      <c r="F58" s="219">
        <v>5150</v>
      </c>
      <c r="G58" s="230"/>
      <c r="H5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COMPACTO_2_ALM009 - </v>
      </c>
    </row>
    <row r="59" spans="3:8" x14ac:dyDescent="0.3">
      <c r="C59" s="219" t="s">
        <v>2692</v>
      </c>
      <c r="D59" s="221">
        <v>10</v>
      </c>
      <c r="E59" s="259" t="s">
        <v>2596</v>
      </c>
      <c r="F59" s="219">
        <v>5150</v>
      </c>
      <c r="G59" s="230"/>
      <c r="H5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COMPACTO_2_ALM010 - </v>
      </c>
    </row>
    <row r="60" spans="3:8" x14ac:dyDescent="0.3">
      <c r="C60" s="219" t="s">
        <v>2693</v>
      </c>
      <c r="D60" s="221">
        <v>11</v>
      </c>
      <c r="E60" s="259" t="s">
        <v>2596</v>
      </c>
      <c r="F60" s="219">
        <v>5150</v>
      </c>
      <c r="G60" s="230"/>
      <c r="H6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COMPACTO_2_ALM011 - </v>
      </c>
    </row>
    <row r="61" spans="3:8" x14ac:dyDescent="0.3">
      <c r="C61" s="219" t="s">
        <v>2694</v>
      </c>
      <c r="D61" s="221">
        <v>12</v>
      </c>
      <c r="E61" s="259" t="s">
        <v>2596</v>
      </c>
      <c r="F61" s="219">
        <v>5150</v>
      </c>
      <c r="G61" s="230"/>
      <c r="H6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COMPACTO_2_ALM012 - </v>
      </c>
    </row>
    <row r="62" spans="3:8" x14ac:dyDescent="0.3">
      <c r="C62" s="219" t="s">
        <v>2695</v>
      </c>
      <c r="D62" s="221">
        <v>13</v>
      </c>
      <c r="E62" s="259" t="s">
        <v>2596</v>
      </c>
      <c r="F62" s="219">
        <v>5150</v>
      </c>
      <c r="G62" s="230"/>
      <c r="H6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COMPACTO_2_ALM013 - </v>
      </c>
    </row>
    <row r="63" spans="3:8" x14ac:dyDescent="0.3">
      <c r="C63" s="219" t="s">
        <v>2696</v>
      </c>
      <c r="D63" s="221">
        <v>14</v>
      </c>
      <c r="E63" s="259" t="s">
        <v>2596</v>
      </c>
      <c r="F63" s="219">
        <v>5150</v>
      </c>
      <c r="G63" s="230"/>
      <c r="H6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COMPACTO_2_ALM014 - </v>
      </c>
    </row>
    <row r="64" spans="3:8" x14ac:dyDescent="0.3">
      <c r="C64" s="219" t="s">
        <v>2697</v>
      </c>
      <c r="D64" s="221">
        <v>15</v>
      </c>
      <c r="E64" s="259" t="s">
        <v>2596</v>
      </c>
      <c r="F64" s="219">
        <v>5150</v>
      </c>
      <c r="G64" s="230"/>
      <c r="H6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COMPACTO_2_ALM015 - </v>
      </c>
    </row>
    <row r="65" spans="3:8" x14ac:dyDescent="0.3">
      <c r="C65" s="219" t="s">
        <v>2698</v>
      </c>
      <c r="D65" s="221">
        <v>16</v>
      </c>
      <c r="E65" s="259" t="s">
        <v>2596</v>
      </c>
      <c r="F65" s="219">
        <v>5150</v>
      </c>
      <c r="G65" s="230"/>
      <c r="H6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COMPACTO_2_ALM016 - </v>
      </c>
    </row>
    <row r="66" spans="3:8" x14ac:dyDescent="0.3">
      <c r="C66" s="219" t="s">
        <v>1759</v>
      </c>
      <c r="D66" s="221">
        <v>1</v>
      </c>
      <c r="E66" s="255" t="s">
        <v>239</v>
      </c>
      <c r="F66" s="219">
        <v>5500</v>
      </c>
      <c r="G66" s="230"/>
      <c r="H6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1_ALM001 - </v>
      </c>
    </row>
    <row r="67" spans="3:8" x14ac:dyDescent="0.3">
      <c r="C67" s="219" t="s">
        <v>1760</v>
      </c>
      <c r="D67" s="221">
        <v>2</v>
      </c>
      <c r="E67" s="255" t="s">
        <v>239</v>
      </c>
      <c r="F67" s="219">
        <v>5500</v>
      </c>
      <c r="G67" s="230"/>
      <c r="H6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1_ALM002 - </v>
      </c>
    </row>
    <row r="68" spans="3:8" x14ac:dyDescent="0.3">
      <c r="C68" s="219" t="s">
        <v>1761</v>
      </c>
      <c r="D68" s="221">
        <v>3</v>
      </c>
      <c r="E68" s="255" t="s">
        <v>239</v>
      </c>
      <c r="F68" s="219">
        <v>5500</v>
      </c>
      <c r="G68" s="230"/>
      <c r="H6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1_ALM003 - </v>
      </c>
    </row>
    <row r="69" spans="3:8" x14ac:dyDescent="0.3">
      <c r="C69" s="219" t="s">
        <v>1762</v>
      </c>
      <c r="D69" s="221">
        <v>4</v>
      </c>
      <c r="E69" s="255" t="s">
        <v>239</v>
      </c>
      <c r="F69" s="219">
        <v>5500</v>
      </c>
      <c r="G69" s="230"/>
      <c r="H6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1_ALM004 - </v>
      </c>
    </row>
    <row r="70" spans="3:8" x14ac:dyDescent="0.3">
      <c r="C70" s="219" t="s">
        <v>1763</v>
      </c>
      <c r="D70" s="221">
        <v>5</v>
      </c>
      <c r="E70" s="255" t="s">
        <v>239</v>
      </c>
      <c r="F70" s="219">
        <v>5500</v>
      </c>
      <c r="G70" s="230"/>
      <c r="H7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1_ALM005 - </v>
      </c>
    </row>
    <row r="71" spans="3:8" x14ac:dyDescent="0.3">
      <c r="C71" s="219" t="s">
        <v>1764</v>
      </c>
      <c r="D71" s="221">
        <v>6</v>
      </c>
      <c r="E71" s="255" t="s">
        <v>239</v>
      </c>
      <c r="F71" s="219">
        <v>5500</v>
      </c>
      <c r="G71" s="230"/>
      <c r="H7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1_ALM006 - </v>
      </c>
    </row>
    <row r="72" spans="3:8" x14ac:dyDescent="0.3">
      <c r="C72" s="219" t="s">
        <v>1765</v>
      </c>
      <c r="D72" s="221">
        <v>7</v>
      </c>
      <c r="E72" s="255" t="s">
        <v>239</v>
      </c>
      <c r="F72" s="219">
        <v>5500</v>
      </c>
      <c r="G72" s="230"/>
      <c r="H7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1_ALM007 - </v>
      </c>
    </row>
    <row r="73" spans="3:8" x14ac:dyDescent="0.3">
      <c r="C73" s="219" t="s">
        <v>1766</v>
      </c>
      <c r="D73" s="221">
        <v>8</v>
      </c>
      <c r="E73" s="255" t="s">
        <v>239</v>
      </c>
      <c r="F73" s="219">
        <v>5500</v>
      </c>
      <c r="G73" s="230"/>
      <c r="H7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1_ALM008 - </v>
      </c>
    </row>
    <row r="74" spans="3:8" x14ac:dyDescent="0.3">
      <c r="C74" s="219" t="s">
        <v>1767</v>
      </c>
      <c r="D74" s="221">
        <v>9</v>
      </c>
      <c r="E74" s="255" t="s">
        <v>239</v>
      </c>
      <c r="F74" s="219">
        <v>5500</v>
      </c>
      <c r="G74" s="230"/>
      <c r="H7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1_ALM009 - </v>
      </c>
    </row>
    <row r="75" spans="3:8" x14ac:dyDescent="0.3">
      <c r="C75" s="219" t="s">
        <v>1768</v>
      </c>
      <c r="D75" s="221">
        <v>10</v>
      </c>
      <c r="E75" s="255" t="s">
        <v>239</v>
      </c>
      <c r="F75" s="219">
        <v>5500</v>
      </c>
      <c r="G75" s="230"/>
      <c r="H7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1_ALM010 - </v>
      </c>
    </row>
    <row r="76" spans="3:8" x14ac:dyDescent="0.3">
      <c r="C76" s="219" t="s">
        <v>1769</v>
      </c>
      <c r="D76" s="221">
        <v>11</v>
      </c>
      <c r="E76" s="255" t="s">
        <v>239</v>
      </c>
      <c r="F76" s="219">
        <v>5500</v>
      </c>
      <c r="G76" s="230"/>
      <c r="H7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1_ALM011 - </v>
      </c>
    </row>
    <row r="77" spans="3:8" x14ac:dyDescent="0.3">
      <c r="C77" s="219" t="s">
        <v>1770</v>
      </c>
      <c r="D77" s="221">
        <v>12</v>
      </c>
      <c r="E77" s="255" t="s">
        <v>239</v>
      </c>
      <c r="F77" s="219">
        <v>5500</v>
      </c>
      <c r="G77" s="230"/>
      <c r="H7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1_ALM012 - </v>
      </c>
    </row>
    <row r="78" spans="3:8" x14ac:dyDescent="0.3">
      <c r="C78" s="219" t="s">
        <v>1771</v>
      </c>
      <c r="D78" s="221">
        <v>13</v>
      </c>
      <c r="E78" s="255" t="s">
        <v>239</v>
      </c>
      <c r="F78" s="219">
        <v>5500</v>
      </c>
      <c r="G78" s="230"/>
      <c r="H7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1_ALM013 - </v>
      </c>
    </row>
    <row r="79" spans="3:8" x14ac:dyDescent="0.3">
      <c r="C79" s="219" t="s">
        <v>1772</v>
      </c>
      <c r="D79" s="221">
        <v>14</v>
      </c>
      <c r="E79" s="255" t="s">
        <v>239</v>
      </c>
      <c r="F79" s="219">
        <v>5500</v>
      </c>
      <c r="G79" s="230"/>
      <c r="H7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1_ALM014 - </v>
      </c>
    </row>
    <row r="80" spans="3:8" x14ac:dyDescent="0.3">
      <c r="C80" s="219" t="s">
        <v>1773</v>
      </c>
      <c r="D80" s="221">
        <v>15</v>
      </c>
      <c r="E80" s="255" t="s">
        <v>239</v>
      </c>
      <c r="F80" s="219">
        <v>5500</v>
      </c>
      <c r="G80" s="230"/>
      <c r="H8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1_ALM015 - </v>
      </c>
    </row>
    <row r="81" spans="3:8" x14ac:dyDescent="0.3">
      <c r="C81" s="219" t="s">
        <v>1774</v>
      </c>
      <c r="D81" s="221">
        <v>16</v>
      </c>
      <c r="E81" s="255" t="s">
        <v>239</v>
      </c>
      <c r="F81" s="219">
        <v>5500</v>
      </c>
      <c r="G81" s="230"/>
      <c r="H8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1_ALM016 - </v>
      </c>
    </row>
    <row r="82" spans="3:8" x14ac:dyDescent="0.3">
      <c r="C82" s="219" t="s">
        <v>1775</v>
      </c>
      <c r="D82" s="221">
        <v>17</v>
      </c>
      <c r="E82" s="255" t="s">
        <v>239</v>
      </c>
      <c r="F82" s="219">
        <v>5500</v>
      </c>
      <c r="G82" s="230"/>
      <c r="H8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1_ALM017 - </v>
      </c>
    </row>
    <row r="83" spans="3:8" x14ac:dyDescent="0.3">
      <c r="C83" s="219" t="s">
        <v>1776</v>
      </c>
      <c r="D83" s="221">
        <v>18</v>
      </c>
      <c r="E83" s="255" t="s">
        <v>239</v>
      </c>
      <c r="F83" s="219">
        <v>5500</v>
      </c>
      <c r="G83" s="230"/>
      <c r="H8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1_ALM018 - </v>
      </c>
    </row>
    <row r="84" spans="3:8" x14ac:dyDescent="0.3">
      <c r="C84" s="219" t="s">
        <v>1777</v>
      </c>
      <c r="D84" s="221">
        <v>19</v>
      </c>
      <c r="E84" s="255" t="s">
        <v>239</v>
      </c>
      <c r="F84" s="219">
        <v>5500</v>
      </c>
      <c r="G84" s="230"/>
      <c r="H8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1_ALM019 - </v>
      </c>
    </row>
    <row r="85" spans="3:8" x14ac:dyDescent="0.3">
      <c r="C85" s="219" t="s">
        <v>1778</v>
      </c>
      <c r="D85" s="221">
        <v>20</v>
      </c>
      <c r="E85" s="255" t="s">
        <v>239</v>
      </c>
      <c r="F85" s="219">
        <v>5500</v>
      </c>
      <c r="G85" s="230"/>
      <c r="H8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1_ALM020 - </v>
      </c>
    </row>
    <row r="86" spans="3:8" x14ac:dyDescent="0.3">
      <c r="C86" s="219" t="s">
        <v>1779</v>
      </c>
      <c r="D86" s="221">
        <v>21</v>
      </c>
      <c r="E86" s="255" t="s">
        <v>239</v>
      </c>
      <c r="F86" s="219">
        <v>5500</v>
      </c>
      <c r="G86" s="230"/>
      <c r="H8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1_ALM021 - </v>
      </c>
    </row>
    <row r="87" spans="3:8" x14ac:dyDescent="0.3">
      <c r="C87" s="219" t="s">
        <v>1780</v>
      </c>
      <c r="D87" s="221">
        <v>22</v>
      </c>
      <c r="E87" s="255" t="s">
        <v>239</v>
      </c>
      <c r="F87" s="219">
        <v>5500</v>
      </c>
      <c r="G87" s="230"/>
      <c r="H8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1_ALM022 - </v>
      </c>
    </row>
    <row r="88" spans="3:8" x14ac:dyDescent="0.3">
      <c r="C88" s="219" t="s">
        <v>1781</v>
      </c>
      <c r="D88" s="221">
        <v>23</v>
      </c>
      <c r="E88" s="255" t="s">
        <v>239</v>
      </c>
      <c r="F88" s="219">
        <v>5500</v>
      </c>
      <c r="G88" s="230"/>
      <c r="H8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1_ALM023 - </v>
      </c>
    </row>
    <row r="89" spans="3:8" x14ac:dyDescent="0.3">
      <c r="C89" s="219" t="s">
        <v>1782</v>
      </c>
      <c r="D89" s="221">
        <v>24</v>
      </c>
      <c r="E89" s="255" t="s">
        <v>239</v>
      </c>
      <c r="F89" s="219">
        <v>5500</v>
      </c>
      <c r="G89" s="230"/>
      <c r="H8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1_ALM024 - </v>
      </c>
    </row>
    <row r="90" spans="3:8" x14ac:dyDescent="0.3">
      <c r="C90" s="219" t="s">
        <v>1783</v>
      </c>
      <c r="D90" s="221">
        <v>25</v>
      </c>
      <c r="E90" s="255" t="s">
        <v>239</v>
      </c>
      <c r="F90" s="219">
        <v>5500</v>
      </c>
      <c r="G90" s="230"/>
      <c r="H9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1_ALM025 - </v>
      </c>
    </row>
    <row r="91" spans="3:8" x14ac:dyDescent="0.3">
      <c r="C91" s="219" t="s">
        <v>1784</v>
      </c>
      <c r="D91" s="221">
        <v>26</v>
      </c>
      <c r="E91" s="255" t="s">
        <v>239</v>
      </c>
      <c r="F91" s="219">
        <v>5500</v>
      </c>
      <c r="G91" s="230"/>
      <c r="H9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1_ALM026 - </v>
      </c>
    </row>
    <row r="92" spans="3:8" x14ac:dyDescent="0.3">
      <c r="C92" s="219" t="s">
        <v>1785</v>
      </c>
      <c r="D92" s="221">
        <v>27</v>
      </c>
      <c r="E92" s="255" t="s">
        <v>239</v>
      </c>
      <c r="F92" s="219">
        <v>5500</v>
      </c>
      <c r="G92" s="230"/>
      <c r="H9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1_ALM027 - </v>
      </c>
    </row>
    <row r="93" spans="3:8" x14ac:dyDescent="0.3">
      <c r="C93" s="219" t="s">
        <v>1786</v>
      </c>
      <c r="D93" s="221">
        <v>28</v>
      </c>
      <c r="E93" s="255" t="s">
        <v>239</v>
      </c>
      <c r="F93" s="219">
        <v>5500</v>
      </c>
      <c r="G93" s="230"/>
      <c r="H9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1_ALM028 - </v>
      </c>
    </row>
    <row r="94" spans="3:8" x14ac:dyDescent="0.3">
      <c r="C94" s="219" t="s">
        <v>1787</v>
      </c>
      <c r="D94" s="221">
        <v>29</v>
      </c>
      <c r="E94" s="255" t="s">
        <v>239</v>
      </c>
      <c r="F94" s="219">
        <v>5500</v>
      </c>
      <c r="G94" s="230"/>
      <c r="H9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1_ALM029 - </v>
      </c>
    </row>
    <row r="95" spans="3:8" x14ac:dyDescent="0.3">
      <c r="C95" s="219" t="s">
        <v>1788</v>
      </c>
      <c r="D95" s="221">
        <v>30</v>
      </c>
      <c r="E95" s="255" t="s">
        <v>239</v>
      </c>
      <c r="F95" s="219">
        <v>5500</v>
      </c>
      <c r="G95" s="230"/>
      <c r="H9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1_ALM030 - </v>
      </c>
    </row>
    <row r="96" spans="3:8" x14ac:dyDescent="0.3">
      <c r="C96" s="219" t="s">
        <v>1789</v>
      </c>
      <c r="D96" s="221">
        <v>31</v>
      </c>
      <c r="E96" s="255" t="s">
        <v>239</v>
      </c>
      <c r="F96" s="219">
        <v>5500</v>
      </c>
      <c r="G96" s="230"/>
      <c r="H9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1_ALM031 - </v>
      </c>
    </row>
    <row r="97" spans="3:8" x14ac:dyDescent="0.3">
      <c r="C97" s="219" t="s">
        <v>1790</v>
      </c>
      <c r="D97" s="221">
        <v>32</v>
      </c>
      <c r="E97" s="255" t="s">
        <v>239</v>
      </c>
      <c r="F97" s="219">
        <v>5500</v>
      </c>
      <c r="G97" s="230"/>
      <c r="H9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1_ALM032 - </v>
      </c>
    </row>
    <row r="98" spans="3:8" x14ac:dyDescent="0.3">
      <c r="C98" s="219" t="s">
        <v>1791</v>
      </c>
      <c r="D98" s="221">
        <v>33</v>
      </c>
      <c r="E98" s="255" t="s">
        <v>239</v>
      </c>
      <c r="F98" s="219">
        <v>5500</v>
      </c>
      <c r="G98" s="230"/>
      <c r="H9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1_ALM033 - </v>
      </c>
    </row>
    <row r="99" spans="3:8" x14ac:dyDescent="0.3">
      <c r="C99" s="219" t="s">
        <v>1792</v>
      </c>
      <c r="D99" s="221">
        <v>34</v>
      </c>
      <c r="E99" s="255" t="s">
        <v>239</v>
      </c>
      <c r="F99" s="219">
        <v>5500</v>
      </c>
      <c r="G99" s="230"/>
      <c r="H9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1_ALM034 - </v>
      </c>
    </row>
    <row r="100" spans="3:8" x14ac:dyDescent="0.3">
      <c r="C100" s="219" t="s">
        <v>1793</v>
      </c>
      <c r="D100" s="221">
        <v>35</v>
      </c>
      <c r="E100" s="255" t="s">
        <v>239</v>
      </c>
      <c r="F100" s="219">
        <v>5500</v>
      </c>
      <c r="G100" s="230"/>
      <c r="H10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1_ALM035 - </v>
      </c>
    </row>
    <row r="101" spans="3:8" x14ac:dyDescent="0.3">
      <c r="C101" s="219" t="s">
        <v>1794</v>
      </c>
      <c r="D101" s="221">
        <v>36</v>
      </c>
      <c r="E101" s="255" t="s">
        <v>239</v>
      </c>
      <c r="F101" s="219">
        <v>5500</v>
      </c>
      <c r="G101" s="230"/>
      <c r="H10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1_ALM036 - </v>
      </c>
    </row>
    <row r="102" spans="3:8" x14ac:dyDescent="0.3">
      <c r="C102" s="219" t="s">
        <v>1795</v>
      </c>
      <c r="D102" s="221">
        <v>37</v>
      </c>
      <c r="E102" s="255" t="s">
        <v>239</v>
      </c>
      <c r="F102" s="219">
        <v>5500</v>
      </c>
      <c r="G102" s="230"/>
      <c r="H10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1_ALM037 - </v>
      </c>
    </row>
    <row r="103" spans="3:8" x14ac:dyDescent="0.3">
      <c r="C103" s="219" t="s">
        <v>1796</v>
      </c>
      <c r="D103" s="221">
        <v>38</v>
      </c>
      <c r="E103" s="255" t="s">
        <v>239</v>
      </c>
      <c r="F103" s="219">
        <v>5500</v>
      </c>
      <c r="G103" s="230"/>
      <c r="H10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1_ALM038 - </v>
      </c>
    </row>
    <row r="104" spans="3:8" x14ac:dyDescent="0.3">
      <c r="C104" s="219" t="s">
        <v>1797</v>
      </c>
      <c r="D104" s="221">
        <v>39</v>
      </c>
      <c r="E104" s="255" t="s">
        <v>239</v>
      </c>
      <c r="F104" s="219">
        <v>5500</v>
      </c>
      <c r="G104" s="230"/>
      <c r="H10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1_ALM039 - </v>
      </c>
    </row>
    <row r="105" spans="3:8" x14ac:dyDescent="0.3">
      <c r="C105" s="219" t="s">
        <v>1798</v>
      </c>
      <c r="D105" s="221">
        <v>40</v>
      </c>
      <c r="E105" s="255" t="s">
        <v>239</v>
      </c>
      <c r="F105" s="219">
        <v>5500</v>
      </c>
      <c r="G105" s="230"/>
      <c r="H10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1_ALM040 - </v>
      </c>
    </row>
    <row r="106" spans="3:8" x14ac:dyDescent="0.3">
      <c r="C106" s="219" t="s">
        <v>1799</v>
      </c>
      <c r="D106" s="221">
        <v>41</v>
      </c>
      <c r="E106" s="255" t="s">
        <v>239</v>
      </c>
      <c r="F106" s="219">
        <v>5500</v>
      </c>
      <c r="G106" s="230"/>
      <c r="H10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1_ALM041 - </v>
      </c>
    </row>
    <row r="107" spans="3:8" x14ac:dyDescent="0.3">
      <c r="C107" s="219" t="s">
        <v>1800</v>
      </c>
      <c r="D107" s="221">
        <v>42</v>
      </c>
      <c r="E107" s="255" t="s">
        <v>239</v>
      </c>
      <c r="F107" s="219">
        <v>5500</v>
      </c>
      <c r="G107" s="230"/>
      <c r="H10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1_ALM042 - </v>
      </c>
    </row>
    <row r="108" spans="3:8" x14ac:dyDescent="0.3">
      <c r="C108" s="219" t="s">
        <v>1801</v>
      </c>
      <c r="D108" s="221">
        <v>43</v>
      </c>
      <c r="E108" s="255" t="s">
        <v>239</v>
      </c>
      <c r="F108" s="219">
        <v>5500</v>
      </c>
      <c r="G108" s="230"/>
      <c r="H10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1_ALM043 - </v>
      </c>
    </row>
    <row r="109" spans="3:8" x14ac:dyDescent="0.3">
      <c r="C109" s="219" t="s">
        <v>1802</v>
      </c>
      <c r="D109" s="221">
        <v>44</v>
      </c>
      <c r="E109" s="255" t="s">
        <v>239</v>
      </c>
      <c r="F109" s="219">
        <v>5500</v>
      </c>
      <c r="G109" s="230"/>
      <c r="H10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1_ALM044 - </v>
      </c>
    </row>
    <row r="110" spans="3:8" x14ac:dyDescent="0.3">
      <c r="C110" s="219" t="s">
        <v>1803</v>
      </c>
      <c r="D110" s="221">
        <v>45</v>
      </c>
      <c r="E110" s="255" t="s">
        <v>239</v>
      </c>
      <c r="F110" s="219">
        <v>5500</v>
      </c>
      <c r="G110" s="230"/>
      <c r="H11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1_ALM045 - </v>
      </c>
    </row>
    <row r="111" spans="3:8" x14ac:dyDescent="0.3">
      <c r="C111" s="219" t="s">
        <v>1804</v>
      </c>
      <c r="D111" s="221">
        <v>46</v>
      </c>
      <c r="E111" s="255" t="s">
        <v>239</v>
      </c>
      <c r="F111" s="219">
        <v>5500</v>
      </c>
      <c r="G111" s="230"/>
      <c r="H11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1_ALM046 - </v>
      </c>
    </row>
    <row r="112" spans="3:8" x14ac:dyDescent="0.3">
      <c r="C112" s="219" t="s">
        <v>1805</v>
      </c>
      <c r="D112" s="221">
        <v>47</v>
      </c>
      <c r="E112" s="255" t="s">
        <v>239</v>
      </c>
      <c r="F112" s="219">
        <v>5500</v>
      </c>
      <c r="G112" s="230"/>
      <c r="H11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1_ALM047 - </v>
      </c>
    </row>
    <row r="113" spans="3:8" x14ac:dyDescent="0.3">
      <c r="C113" s="219" t="s">
        <v>1806</v>
      </c>
      <c r="D113" s="221">
        <v>48</v>
      </c>
      <c r="E113" s="255" t="s">
        <v>239</v>
      </c>
      <c r="F113" s="219">
        <v>5500</v>
      </c>
      <c r="G113" s="230"/>
      <c r="H11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1_ALM048 - </v>
      </c>
    </row>
    <row r="114" spans="3:8" x14ac:dyDescent="0.3">
      <c r="C114" s="219" t="s">
        <v>1807</v>
      </c>
      <c r="D114" s="221">
        <v>49</v>
      </c>
      <c r="E114" s="255" t="s">
        <v>239</v>
      </c>
      <c r="F114" s="219">
        <v>5500</v>
      </c>
      <c r="G114" s="230"/>
      <c r="H11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1_ALM049 - </v>
      </c>
    </row>
    <row r="115" spans="3:8" x14ac:dyDescent="0.3">
      <c r="C115" s="219" t="s">
        <v>1808</v>
      </c>
      <c r="D115" s="221">
        <v>50</v>
      </c>
      <c r="E115" s="255" t="s">
        <v>239</v>
      </c>
      <c r="F115" s="219">
        <v>5500</v>
      </c>
      <c r="G115" s="230"/>
      <c r="H11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1_ALM050 - </v>
      </c>
    </row>
    <row r="116" spans="3:8" x14ac:dyDescent="0.3">
      <c r="C116" s="219" t="s">
        <v>1809</v>
      </c>
      <c r="D116" s="221">
        <v>51</v>
      </c>
      <c r="E116" s="255" t="s">
        <v>239</v>
      </c>
      <c r="F116" s="219">
        <v>5500</v>
      </c>
      <c r="G116" s="230"/>
      <c r="H11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1_ALM051 - </v>
      </c>
    </row>
    <row r="117" spans="3:8" x14ac:dyDescent="0.3">
      <c r="C117" s="219" t="s">
        <v>1810</v>
      </c>
      <c r="D117" s="221">
        <v>52</v>
      </c>
      <c r="E117" s="255" t="s">
        <v>239</v>
      </c>
      <c r="F117" s="219">
        <v>5500</v>
      </c>
      <c r="G117" s="230"/>
      <c r="H11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1_ALM052 - </v>
      </c>
    </row>
    <row r="118" spans="3:8" x14ac:dyDescent="0.3">
      <c r="C118" s="219" t="s">
        <v>1811</v>
      </c>
      <c r="D118" s="221">
        <v>53</v>
      </c>
      <c r="E118" s="255" t="s">
        <v>239</v>
      </c>
      <c r="F118" s="219">
        <v>5500</v>
      </c>
      <c r="G118" s="230"/>
      <c r="H11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1_ALM053 - </v>
      </c>
    </row>
    <row r="119" spans="3:8" x14ac:dyDescent="0.3">
      <c r="C119" s="219" t="s">
        <v>1812</v>
      </c>
      <c r="D119" s="221">
        <v>54</v>
      </c>
      <c r="E119" s="255" t="s">
        <v>239</v>
      </c>
      <c r="F119" s="219">
        <v>5500</v>
      </c>
      <c r="G119" s="230"/>
      <c r="H11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1_ALM054 - </v>
      </c>
    </row>
    <row r="120" spans="3:8" x14ac:dyDescent="0.3">
      <c r="C120" s="219" t="s">
        <v>1813</v>
      </c>
      <c r="D120" s="221">
        <v>55</v>
      </c>
      <c r="E120" s="255" t="s">
        <v>239</v>
      </c>
      <c r="F120" s="219">
        <v>5500</v>
      </c>
      <c r="G120" s="230"/>
      <c r="H12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1_ALM055 - </v>
      </c>
    </row>
    <row r="121" spans="3:8" x14ac:dyDescent="0.3">
      <c r="C121" s="219" t="s">
        <v>1814</v>
      </c>
      <c r="D121" s="221">
        <v>56</v>
      </c>
      <c r="E121" s="255" t="s">
        <v>239</v>
      </c>
      <c r="F121" s="219">
        <v>5500</v>
      </c>
      <c r="G121" s="230"/>
      <c r="H12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1_ALM056 - </v>
      </c>
    </row>
    <row r="122" spans="3:8" x14ac:dyDescent="0.3">
      <c r="C122" s="219" t="s">
        <v>1815</v>
      </c>
      <c r="D122" s="221">
        <v>57</v>
      </c>
      <c r="E122" s="255" t="s">
        <v>239</v>
      </c>
      <c r="F122" s="219">
        <v>5500</v>
      </c>
      <c r="G122" s="230"/>
      <c r="H12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1_ALM057 - </v>
      </c>
    </row>
    <row r="123" spans="3:8" x14ac:dyDescent="0.3">
      <c r="C123" s="219" t="s">
        <v>1816</v>
      </c>
      <c r="D123" s="221">
        <v>58</v>
      </c>
      <c r="E123" s="255" t="s">
        <v>239</v>
      </c>
      <c r="F123" s="219">
        <v>5500</v>
      </c>
      <c r="G123" s="230"/>
      <c r="H12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1_ALM058 - </v>
      </c>
    </row>
    <row r="124" spans="3:8" x14ac:dyDescent="0.3">
      <c r="C124" s="219" t="s">
        <v>1817</v>
      </c>
      <c r="D124" s="221">
        <v>59</v>
      </c>
      <c r="E124" s="255" t="s">
        <v>239</v>
      </c>
      <c r="F124" s="219">
        <v>5500</v>
      </c>
      <c r="G124" s="230"/>
      <c r="H12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1_ALM059 - </v>
      </c>
    </row>
    <row r="125" spans="3:8" x14ac:dyDescent="0.3">
      <c r="C125" s="219" t="s">
        <v>1818</v>
      </c>
      <c r="D125" s="221">
        <v>60</v>
      </c>
      <c r="E125" s="255" t="s">
        <v>239</v>
      </c>
      <c r="F125" s="219">
        <v>5500</v>
      </c>
      <c r="G125" s="230"/>
      <c r="H12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1_ALM060 - </v>
      </c>
    </row>
    <row r="126" spans="3:8" x14ac:dyDescent="0.3">
      <c r="C126" s="219" t="s">
        <v>1819</v>
      </c>
      <c r="D126" s="221">
        <v>61</v>
      </c>
      <c r="E126" s="255" t="s">
        <v>239</v>
      </c>
      <c r="F126" s="219">
        <v>5500</v>
      </c>
      <c r="G126" s="230"/>
      <c r="H12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1_ALM061 - </v>
      </c>
    </row>
    <row r="127" spans="3:8" x14ac:dyDescent="0.3">
      <c r="C127" s="219" t="s">
        <v>1820</v>
      </c>
      <c r="D127" s="221">
        <v>62</v>
      </c>
      <c r="E127" s="255" t="s">
        <v>239</v>
      </c>
      <c r="F127" s="219">
        <v>5500</v>
      </c>
      <c r="G127" s="230"/>
      <c r="H12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1_ALM062 - </v>
      </c>
    </row>
    <row r="128" spans="3:8" x14ac:dyDescent="0.3">
      <c r="C128" s="219" t="s">
        <v>1821</v>
      </c>
      <c r="D128" s="221">
        <v>63</v>
      </c>
      <c r="E128" s="255" t="s">
        <v>239</v>
      </c>
      <c r="F128" s="219">
        <v>5500</v>
      </c>
      <c r="G128" s="230"/>
      <c r="H12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1_ALM063 - </v>
      </c>
    </row>
    <row r="129" spans="3:8" x14ac:dyDescent="0.3">
      <c r="C129" s="219" t="s">
        <v>1822</v>
      </c>
      <c r="D129" s="221">
        <v>64</v>
      </c>
      <c r="E129" s="255" t="s">
        <v>239</v>
      </c>
      <c r="F129" s="219">
        <v>5500</v>
      </c>
      <c r="G129" s="230"/>
      <c r="H12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1_ALM064 - </v>
      </c>
    </row>
    <row r="130" spans="3:8" x14ac:dyDescent="0.3">
      <c r="C130" s="219" t="s">
        <v>1432</v>
      </c>
      <c r="D130" s="221">
        <v>1</v>
      </c>
      <c r="E130" s="212" t="s">
        <v>1442</v>
      </c>
      <c r="F130" s="219">
        <v>6100</v>
      </c>
      <c r="G130" s="230"/>
      <c r="H130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31" spans="3:8" x14ac:dyDescent="0.3">
      <c r="C131" s="219" t="s">
        <v>1433</v>
      </c>
      <c r="D131" s="221">
        <v>2</v>
      </c>
      <c r="E131" s="212" t="s">
        <v>1442</v>
      </c>
      <c r="F131" s="219">
        <v>6100</v>
      </c>
      <c r="G131" s="230"/>
      <c r="H131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32" spans="3:8" x14ac:dyDescent="0.3">
      <c r="C132" s="219" t="s">
        <v>1434</v>
      </c>
      <c r="D132" s="221">
        <v>3</v>
      </c>
      <c r="E132" s="212" t="s">
        <v>1442</v>
      </c>
      <c r="F132" s="219">
        <v>6100</v>
      </c>
      <c r="G132" s="230"/>
      <c r="H132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33" spans="3:8" x14ac:dyDescent="0.3">
      <c r="C133" s="219" t="s">
        <v>1435</v>
      </c>
      <c r="D133" s="221">
        <v>4</v>
      </c>
      <c r="E133" s="212" t="s">
        <v>1442</v>
      </c>
      <c r="F133" s="219">
        <v>6100</v>
      </c>
      <c r="G133" s="230"/>
      <c r="H133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34" spans="3:8" x14ac:dyDescent="0.3">
      <c r="C134" s="219" t="s">
        <v>1436</v>
      </c>
      <c r="D134" s="221">
        <v>5</v>
      </c>
      <c r="E134" s="212" t="s">
        <v>1442</v>
      </c>
      <c r="F134" s="219">
        <v>6100</v>
      </c>
      <c r="G134" s="230"/>
      <c r="H134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35" spans="3:8" x14ac:dyDescent="0.3">
      <c r="C135" s="219" t="s">
        <v>1437</v>
      </c>
      <c r="D135" s="221">
        <v>6</v>
      </c>
      <c r="E135" s="212" t="s">
        <v>1442</v>
      </c>
      <c r="F135" s="219">
        <v>6100</v>
      </c>
      <c r="G135" s="230"/>
      <c r="H135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36" spans="3:8" x14ac:dyDescent="0.3">
      <c r="C136" s="219" t="s">
        <v>1438</v>
      </c>
      <c r="D136" s="221">
        <v>7</v>
      </c>
      <c r="E136" s="212" t="s">
        <v>1442</v>
      </c>
      <c r="F136" s="219">
        <v>6100</v>
      </c>
      <c r="G136" s="230"/>
      <c r="H136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37" spans="3:8" x14ac:dyDescent="0.3">
      <c r="C137" s="219" t="s">
        <v>1439</v>
      </c>
      <c r="D137" s="221">
        <v>8</v>
      </c>
      <c r="E137" s="212" t="s">
        <v>1442</v>
      </c>
      <c r="F137" s="219">
        <v>6100</v>
      </c>
      <c r="G137" s="230"/>
      <c r="H137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  <row r="138" spans="3:8" ht="17.25" x14ac:dyDescent="0.35">
      <c r="C138" s="219" t="s">
        <v>2789</v>
      </c>
      <c r="D138" s="221">
        <v>1</v>
      </c>
      <c r="E138" s="223" t="s">
        <v>2768</v>
      </c>
      <c r="F138" s="219">
        <v>6620</v>
      </c>
      <c r="G138" s="59" t="s">
        <v>2810</v>
      </c>
      <c r="H138" s="224" t="str">
        <f>Tabla_Alarmas[[#This Row],[Proceso]] &amp; IF(Tabla_Alarmas[[#This Row],[Numero]]&lt;10,"_ALM00","_ALM0")  &amp; Tabla_Alarmas[[#This Row],[Numero]] &amp; " - " &amp; Tabla_Alarmas[[#This Row],[Descripcion]]</f>
        <v>PREP_COC2_1_ALM001 - Proceso preparacion cocina 1 en error</v>
      </c>
    </row>
    <row r="139" spans="3:8" ht="17.25" x14ac:dyDescent="0.35">
      <c r="C139" s="219" t="s">
        <v>2790</v>
      </c>
      <c r="D139" s="221">
        <v>2</v>
      </c>
      <c r="E139" s="223" t="s">
        <v>2768</v>
      </c>
      <c r="F139" s="219">
        <v>6620</v>
      </c>
      <c r="G139" s="59" t="s">
        <v>2811</v>
      </c>
      <c r="H139" s="224" t="str">
        <f>Tabla_Alarmas[[#This Row],[Proceso]] &amp; IF(Tabla_Alarmas[[#This Row],[Numero]]&lt;10,"_ALM00","_ALM0")  &amp; Tabla_Alarmas[[#This Row],[Numero]] &amp; " - " &amp; Tabla_Alarmas[[#This Row],[Descripcion]]</f>
        <v>PREP_COC2_1_ALM002 - Tiempo maximo recirculacion calentamiento/enfriamiento</v>
      </c>
    </row>
    <row r="140" spans="3:8" x14ac:dyDescent="0.3">
      <c r="C140" s="219" t="s">
        <v>2791</v>
      </c>
      <c r="D140" s="221">
        <v>3</v>
      </c>
      <c r="E140" s="223" t="s">
        <v>2768</v>
      </c>
      <c r="F140" s="219">
        <v>6620</v>
      </c>
      <c r="G140" s="230"/>
      <c r="H140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PREP_COC2_1_ALM003 - </v>
      </c>
    </row>
    <row r="141" spans="3:8" x14ac:dyDescent="0.3">
      <c r="C141" s="219" t="s">
        <v>2792</v>
      </c>
      <c r="D141" s="221">
        <v>4</v>
      </c>
      <c r="E141" s="223" t="s">
        <v>2768</v>
      </c>
      <c r="F141" s="219">
        <v>6620</v>
      </c>
      <c r="G141" s="230"/>
      <c r="H141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PREP_COC2_1_ALM004 - </v>
      </c>
    </row>
    <row r="142" spans="3:8" x14ac:dyDescent="0.3">
      <c r="C142" s="219" t="s">
        <v>2793</v>
      </c>
      <c r="D142" s="221">
        <v>5</v>
      </c>
      <c r="E142" s="223" t="s">
        <v>2768</v>
      </c>
      <c r="F142" s="219">
        <v>6620</v>
      </c>
      <c r="G142" s="230"/>
      <c r="H142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PREP_COC2_1_ALM005 - </v>
      </c>
    </row>
    <row r="143" spans="3:8" x14ac:dyDescent="0.3">
      <c r="C143" s="219" t="s">
        <v>2794</v>
      </c>
      <c r="D143" s="221">
        <v>6</v>
      </c>
      <c r="E143" s="223" t="s">
        <v>2768</v>
      </c>
      <c r="F143" s="219">
        <v>6620</v>
      </c>
      <c r="G143" s="230"/>
      <c r="H143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PREP_COC2_1_ALM006 - </v>
      </c>
    </row>
    <row r="144" spans="3:8" x14ac:dyDescent="0.3">
      <c r="C144" s="219" t="s">
        <v>2795</v>
      </c>
      <c r="D144" s="221">
        <v>7</v>
      </c>
      <c r="E144" s="223" t="s">
        <v>2768</v>
      </c>
      <c r="F144" s="219">
        <v>6620</v>
      </c>
      <c r="G144" s="230"/>
      <c r="H144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PREP_COC2_1_ALM007 - </v>
      </c>
    </row>
    <row r="145" spans="3:8" x14ac:dyDescent="0.3">
      <c r="C145" s="219" t="s">
        <v>2796</v>
      </c>
      <c r="D145" s="221">
        <v>8</v>
      </c>
      <c r="E145" s="223" t="s">
        <v>2768</v>
      </c>
      <c r="F145" s="219">
        <v>6620</v>
      </c>
      <c r="G145" s="230"/>
      <c r="H145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PREP_COC2_1_ALM008 - </v>
      </c>
    </row>
    <row r="146" spans="3:8" x14ac:dyDescent="0.3">
      <c r="C146" s="219" t="s">
        <v>2797</v>
      </c>
      <c r="D146" s="221">
        <v>9</v>
      </c>
      <c r="E146" s="223" t="s">
        <v>2768</v>
      </c>
      <c r="F146" s="219">
        <v>6620</v>
      </c>
      <c r="G146" s="230"/>
      <c r="H146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PREP_COC2_1_ALM009 - </v>
      </c>
    </row>
    <row r="147" spans="3:8" x14ac:dyDescent="0.3">
      <c r="C147" s="219" t="s">
        <v>2798</v>
      </c>
      <c r="D147" s="221">
        <v>10</v>
      </c>
      <c r="E147" s="223" t="s">
        <v>2768</v>
      </c>
      <c r="F147" s="219">
        <v>6620</v>
      </c>
      <c r="G147" s="230"/>
      <c r="H147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PREP_COC2_1_ALM010 - </v>
      </c>
    </row>
    <row r="148" spans="3:8" x14ac:dyDescent="0.3">
      <c r="C148" s="219" t="s">
        <v>2799</v>
      </c>
      <c r="D148" s="221">
        <v>11</v>
      </c>
      <c r="E148" s="223" t="s">
        <v>2768</v>
      </c>
      <c r="F148" s="219">
        <v>6620</v>
      </c>
      <c r="G148" s="230"/>
      <c r="H148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PREP_COC2_1_ALM011 - </v>
      </c>
    </row>
    <row r="149" spans="3:8" x14ac:dyDescent="0.3">
      <c r="C149" s="219" t="s">
        <v>2800</v>
      </c>
      <c r="D149" s="221">
        <v>12</v>
      </c>
      <c r="E149" s="223" t="s">
        <v>2768</v>
      </c>
      <c r="F149" s="219">
        <v>6620</v>
      </c>
      <c r="G149" s="230"/>
      <c r="H149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PREP_COC2_1_ALM012 - </v>
      </c>
    </row>
    <row r="150" spans="3:8" x14ac:dyDescent="0.3">
      <c r="C150" s="219" t="s">
        <v>2801</v>
      </c>
      <c r="D150" s="221">
        <v>13</v>
      </c>
      <c r="E150" s="223" t="s">
        <v>2768</v>
      </c>
      <c r="F150" s="219">
        <v>6620</v>
      </c>
      <c r="G150" s="230"/>
      <c r="H150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PREP_COC2_1_ALM013 - </v>
      </c>
    </row>
    <row r="151" spans="3:8" x14ac:dyDescent="0.3">
      <c r="C151" s="219" t="s">
        <v>2802</v>
      </c>
      <c r="D151" s="221">
        <v>14</v>
      </c>
      <c r="E151" s="223" t="s">
        <v>2768</v>
      </c>
      <c r="F151" s="219">
        <v>6620</v>
      </c>
      <c r="G151" s="230"/>
      <c r="H151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PREP_COC2_1_ALM014 - </v>
      </c>
    </row>
    <row r="152" spans="3:8" x14ac:dyDescent="0.3">
      <c r="C152" s="219" t="s">
        <v>2803</v>
      </c>
      <c r="D152" s="221">
        <v>15</v>
      </c>
      <c r="E152" s="223" t="s">
        <v>2768</v>
      </c>
      <c r="F152" s="219">
        <v>6620</v>
      </c>
      <c r="G152" s="230"/>
      <c r="H152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PREP_COC2_1_ALM015 - </v>
      </c>
    </row>
    <row r="153" spans="3:8" x14ac:dyDescent="0.3">
      <c r="C153" s="219" t="s">
        <v>2804</v>
      </c>
      <c r="D153" s="221">
        <v>16</v>
      </c>
      <c r="E153" s="223" t="s">
        <v>2768</v>
      </c>
      <c r="F153" s="219">
        <v>6620</v>
      </c>
      <c r="G153" s="230"/>
      <c r="H153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PREP_COC2_1_ALM016 - </v>
      </c>
    </row>
  </sheetData>
  <mergeCells count="2">
    <mergeCell ref="I1:I6"/>
    <mergeCell ref="B2:C2"/>
  </mergeCells>
  <phoneticPr fontId="23" type="noConversion"/>
  <conditionalFormatting sqref="F10:F153 H10:H153 C10:D153">
    <cfRule type="cellIs" dxfId="154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C10:F153 H10:H153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O40"/>
  <sheetViews>
    <sheetView showGridLines="0" zoomScale="70" zoomScaleNormal="70" workbookViewId="0">
      <pane ySplit="10" topLeftCell="A11" activePane="bottomLeft" state="frozen"/>
      <selection pane="bottomLeft" activeCell="C10" sqref="C10:N1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6.7109375" style="47" bestFit="1" customWidth="1"/>
    <col min="14" max="14" width="60.140625" style="47" customWidth="1"/>
    <col min="15" max="15" width="4.85546875" style="47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261"/>
    </row>
    <row r="2" spans="1:15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46"/>
      <c r="O2" s="261"/>
    </row>
    <row r="3" spans="1:15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6"/>
      <c r="O3" s="261"/>
    </row>
    <row r="4" spans="1:15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6"/>
      <c r="O4" s="261"/>
    </row>
    <row r="5" spans="1:15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46"/>
      <c r="O5" s="261"/>
    </row>
    <row r="6" spans="1:15" ht="18" customHeight="1" x14ac:dyDescent="0.35">
      <c r="A6" s="46"/>
      <c r="B6" s="53" t="s">
        <v>1631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46"/>
      <c r="O6" s="261"/>
    </row>
    <row r="7" spans="1:15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46"/>
      <c r="O7" s="203" t="str">
        <f>PORTADA!E50</f>
        <v>V0.01</v>
      </c>
    </row>
    <row r="9" spans="1:15" x14ac:dyDescent="0.3">
      <c r="H9" s="267" t="s">
        <v>1632</v>
      </c>
      <c r="I9" s="267"/>
    </row>
    <row r="10" spans="1:15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211" t="s">
        <v>1634</v>
      </c>
      <c r="J10" s="211" t="s">
        <v>1687</v>
      </c>
      <c r="K10" s="211" t="s">
        <v>1451</v>
      </c>
      <c r="L10" s="240" t="s">
        <v>310</v>
      </c>
      <c r="M10" s="233" t="s">
        <v>1676</v>
      </c>
      <c r="N10" s="234" t="s">
        <v>1677</v>
      </c>
    </row>
    <row r="11" spans="1:15" s="67" customFormat="1" x14ac:dyDescent="0.3">
      <c r="C11" s="226" t="s">
        <v>1650</v>
      </c>
      <c r="D11" s="236">
        <v>1</v>
      </c>
      <c r="E11" s="241" t="s">
        <v>2734</v>
      </c>
      <c r="F11" s="229" t="s">
        <v>2749</v>
      </c>
      <c r="G11" s="241"/>
      <c r="H11" s="225">
        <v>10</v>
      </c>
      <c r="I11" s="225">
        <v>0</v>
      </c>
      <c r="J11" s="225">
        <v>0</v>
      </c>
      <c r="K11" s="226" t="s">
        <v>64</v>
      </c>
      <c r="L11" s="225"/>
      <c r="M11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ED_HL_155</v>
      </c>
      <c r="N11" s="237" t="str">
        <f>IF(Tabla_Disp_ED[[#This Row],[Cuadro]]&lt;&gt;"",Tabla_Disp_ED[[#This Row],[Cuadro]],"")</f>
        <v>ED02 ZONA 1 ARMARIO PRINCIPAL</v>
      </c>
      <c r="O11" s="47"/>
    </row>
    <row r="12" spans="1:15" x14ac:dyDescent="0.3">
      <c r="C12" s="226" t="s">
        <v>1651</v>
      </c>
      <c r="D12" s="236">
        <v>2</v>
      </c>
      <c r="E12" s="241" t="s">
        <v>2735</v>
      </c>
      <c r="F12" s="229" t="s">
        <v>2750</v>
      </c>
      <c r="G12" s="241"/>
      <c r="H12" s="225"/>
      <c r="I12" s="225"/>
      <c r="J12" s="225"/>
      <c r="K12" s="226"/>
      <c r="L12" s="225"/>
      <c r="M12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ED_HL_156</v>
      </c>
      <c r="N12" s="237" t="str">
        <f>IF(Tabla_Disp_ED[[#This Row],[Cuadro]]&lt;&gt;"",Tabla_Disp_ED[[#This Row],[Cuadro]],"")</f>
        <v/>
      </c>
    </row>
    <row r="13" spans="1:15" x14ac:dyDescent="0.3">
      <c r="C13" s="226" t="s">
        <v>1652</v>
      </c>
      <c r="D13" s="236">
        <v>3</v>
      </c>
      <c r="E13" s="241" t="s">
        <v>2736</v>
      </c>
      <c r="F13" s="229" t="s">
        <v>2751</v>
      </c>
      <c r="G13" s="241"/>
      <c r="H13" s="225"/>
      <c r="I13" s="225"/>
      <c r="J13" s="225"/>
      <c r="K13" s="226"/>
      <c r="L13" s="225"/>
      <c r="M13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ED_HL_157</v>
      </c>
      <c r="N13" s="237" t="str">
        <f>IF(Tabla_Disp_ED[[#This Row],[Cuadro]]&lt;&gt;"",Tabla_Disp_ED[[#This Row],[Cuadro]],"")</f>
        <v/>
      </c>
    </row>
    <row r="14" spans="1:15" x14ac:dyDescent="0.3">
      <c r="C14" s="226" t="s">
        <v>1653</v>
      </c>
      <c r="D14" s="236">
        <v>4</v>
      </c>
      <c r="E14" s="241" t="s">
        <v>2737</v>
      </c>
      <c r="F14" s="229" t="s">
        <v>2752</v>
      </c>
      <c r="G14" s="241"/>
      <c r="H14" s="225"/>
      <c r="I14" s="225"/>
      <c r="J14" s="225"/>
      <c r="K14" s="226"/>
      <c r="L14" s="225"/>
      <c r="M14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ED_HL_158</v>
      </c>
      <c r="N14" s="237" t="str">
        <f>IF(Tabla_Disp_ED[[#This Row],[Cuadro]]&lt;&gt;"",Tabla_Disp_ED[[#This Row],[Cuadro]],"")</f>
        <v/>
      </c>
    </row>
    <row r="15" spans="1:15" x14ac:dyDescent="0.3">
      <c r="C15" s="226" t="s">
        <v>1654</v>
      </c>
      <c r="D15" s="236">
        <v>5</v>
      </c>
      <c r="E15" s="241" t="s">
        <v>2738</v>
      </c>
      <c r="F15" s="229" t="s">
        <v>2753</v>
      </c>
      <c r="G15" s="241"/>
      <c r="H15" s="225"/>
      <c r="I15" s="225"/>
      <c r="J15" s="225"/>
      <c r="K15" s="226"/>
      <c r="L15" s="225"/>
      <c r="M15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ED_HL_159</v>
      </c>
      <c r="N15" s="237" t="str">
        <f>IF(Tabla_Disp_ED[[#This Row],[Cuadro]]&lt;&gt;"",Tabla_Disp_ED[[#This Row],[Cuadro]],"")</f>
        <v/>
      </c>
    </row>
    <row r="16" spans="1:15" x14ac:dyDescent="0.3">
      <c r="C16" s="226" t="s">
        <v>1736</v>
      </c>
      <c r="D16" s="236">
        <v>6</v>
      </c>
      <c r="E16" s="241" t="s">
        <v>2739</v>
      </c>
      <c r="F16" s="229" t="s">
        <v>2754</v>
      </c>
      <c r="G16" s="241"/>
      <c r="H16" s="225"/>
      <c r="I16" s="225"/>
      <c r="J16" s="225"/>
      <c r="K16" s="226"/>
      <c r="L16" s="225"/>
      <c r="M1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ED_HL_160</v>
      </c>
      <c r="N16" s="237" t="str">
        <f>IF(Tabla_Disp_ED[[#This Row],[Cuadro]]&lt;&gt;"",Tabla_Disp_ED[[#This Row],[Cuadro]],"")</f>
        <v/>
      </c>
    </row>
    <row r="17" spans="3:14" x14ac:dyDescent="0.3">
      <c r="C17" s="226" t="s">
        <v>1737</v>
      </c>
      <c r="D17" s="236">
        <v>7</v>
      </c>
      <c r="E17" s="241" t="s">
        <v>2740</v>
      </c>
      <c r="F17" s="229" t="s">
        <v>2755</v>
      </c>
      <c r="G17" s="241"/>
      <c r="H17" s="225"/>
      <c r="I17" s="225"/>
      <c r="J17" s="225"/>
      <c r="K17" s="226"/>
      <c r="L17" s="225"/>
      <c r="M1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ED_HL_161</v>
      </c>
      <c r="N17" s="237" t="str">
        <f>IF(Tabla_Disp_ED[[#This Row],[Cuadro]]&lt;&gt;"",Tabla_Disp_ED[[#This Row],[Cuadro]],"")</f>
        <v/>
      </c>
    </row>
    <row r="18" spans="3:14" x14ac:dyDescent="0.3">
      <c r="C18" s="226" t="s">
        <v>1738</v>
      </c>
      <c r="D18" s="236">
        <v>8</v>
      </c>
      <c r="E18" s="241" t="s">
        <v>2741</v>
      </c>
      <c r="F18" s="229" t="s">
        <v>2756</v>
      </c>
      <c r="G18" s="241"/>
      <c r="H18" s="225"/>
      <c r="I18" s="225"/>
      <c r="J18" s="225"/>
      <c r="K18" s="226"/>
      <c r="L18" s="225"/>
      <c r="M1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ED_HL_162</v>
      </c>
      <c r="N18" s="237" t="str">
        <f>IF(Tabla_Disp_ED[[#This Row],[Cuadro]]&lt;&gt;"",Tabla_Disp_ED[[#This Row],[Cuadro]],"")</f>
        <v/>
      </c>
    </row>
    <row r="19" spans="3:14" x14ac:dyDescent="0.3">
      <c r="C19" s="226" t="s">
        <v>1739</v>
      </c>
      <c r="D19" s="236">
        <v>9</v>
      </c>
      <c r="E19" s="241" t="s">
        <v>2742</v>
      </c>
      <c r="F19" s="229" t="s">
        <v>2757</v>
      </c>
      <c r="G19" s="241"/>
      <c r="H19" s="225"/>
      <c r="I19" s="225"/>
      <c r="J19" s="225"/>
      <c r="K19" s="226"/>
      <c r="L19" s="225"/>
      <c r="M1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ED_HL_163</v>
      </c>
      <c r="N19" s="237" t="str">
        <f>IF(Tabla_Disp_ED[[#This Row],[Cuadro]]&lt;&gt;"",Tabla_Disp_ED[[#This Row],[Cuadro]],"")</f>
        <v/>
      </c>
    </row>
    <row r="20" spans="3:14" x14ac:dyDescent="0.3">
      <c r="C20" s="226" t="s">
        <v>1740</v>
      </c>
      <c r="D20" s="236">
        <v>10</v>
      </c>
      <c r="E20" s="241" t="s">
        <v>2743</v>
      </c>
      <c r="F20" s="229" t="s">
        <v>2758</v>
      </c>
      <c r="G20" s="241"/>
      <c r="H20" s="225"/>
      <c r="I20" s="225"/>
      <c r="J20" s="225"/>
      <c r="K20" s="226"/>
      <c r="L20" s="225"/>
      <c r="M2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ED_HL_164</v>
      </c>
      <c r="N20" s="237" t="str">
        <f>IF(Tabla_Disp_ED[[#This Row],[Cuadro]]&lt;&gt;"",Tabla_Disp_ED[[#This Row],[Cuadro]],"")</f>
        <v/>
      </c>
    </row>
    <row r="21" spans="3:14" x14ac:dyDescent="0.3">
      <c r="C21" s="226" t="s">
        <v>2115</v>
      </c>
      <c r="D21" s="236">
        <v>11</v>
      </c>
      <c r="E21" s="241" t="s">
        <v>2744</v>
      </c>
      <c r="F21" s="229" t="s">
        <v>2567</v>
      </c>
      <c r="G21" s="241"/>
      <c r="H21" s="225"/>
      <c r="I21" s="225"/>
      <c r="J21" s="225"/>
      <c r="K21" s="226"/>
      <c r="L21" s="225"/>
      <c r="M2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ED_HL_165</v>
      </c>
      <c r="N21" s="237" t="str">
        <f>IF(Tabla_Disp_ED[[#This Row],[Cuadro]]&lt;&gt;"",Tabla_Disp_ED[[#This Row],[Cuadro]],"")</f>
        <v/>
      </c>
    </row>
    <row r="22" spans="3:14" x14ac:dyDescent="0.3">
      <c r="C22" s="226" t="s">
        <v>2116</v>
      </c>
      <c r="D22" s="236">
        <v>12</v>
      </c>
      <c r="E22" s="241" t="s">
        <v>2745</v>
      </c>
      <c r="F22" s="229" t="s">
        <v>2568</v>
      </c>
      <c r="G22" s="241"/>
      <c r="H22" s="225"/>
      <c r="I22" s="225"/>
      <c r="J22" s="225"/>
      <c r="K22" s="226"/>
      <c r="L22" s="225"/>
      <c r="M2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ED_HL_166</v>
      </c>
      <c r="N22" s="237" t="str">
        <f>IF(Tabla_Disp_ED[[#This Row],[Cuadro]]&lt;&gt;"",Tabla_Disp_ED[[#This Row],[Cuadro]],"")</f>
        <v/>
      </c>
    </row>
    <row r="23" spans="3:14" x14ac:dyDescent="0.3">
      <c r="C23" s="226" t="s">
        <v>2117</v>
      </c>
      <c r="D23" s="236">
        <v>13</v>
      </c>
      <c r="E23" s="241" t="s">
        <v>2746</v>
      </c>
      <c r="F23" s="229" t="s">
        <v>2569</v>
      </c>
      <c r="G23" s="241"/>
      <c r="H23" s="225"/>
      <c r="I23" s="225"/>
      <c r="J23" s="225"/>
      <c r="K23" s="226"/>
      <c r="L23" s="225"/>
      <c r="M2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ED_HL_167</v>
      </c>
      <c r="N23" s="237" t="str">
        <f>IF(Tabla_Disp_ED[[#This Row],[Cuadro]]&lt;&gt;"",Tabla_Disp_ED[[#This Row],[Cuadro]],"")</f>
        <v/>
      </c>
    </row>
    <row r="24" spans="3:14" x14ac:dyDescent="0.3">
      <c r="C24" s="226" t="s">
        <v>2118</v>
      </c>
      <c r="D24" s="236">
        <v>14</v>
      </c>
      <c r="E24" s="241" t="s">
        <v>2747</v>
      </c>
      <c r="F24" s="229" t="s">
        <v>2570</v>
      </c>
      <c r="G24" s="241"/>
      <c r="H24" s="225"/>
      <c r="I24" s="225"/>
      <c r="J24" s="225"/>
      <c r="K24" s="226"/>
      <c r="L24" s="225"/>
      <c r="M2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ED_HL_168</v>
      </c>
      <c r="N24" s="237" t="str">
        <f>IF(Tabla_Disp_ED[[#This Row],[Cuadro]]&lt;&gt;"",Tabla_Disp_ED[[#This Row],[Cuadro]],"")</f>
        <v/>
      </c>
    </row>
    <row r="25" spans="3:14" x14ac:dyDescent="0.3">
      <c r="C25" s="226" t="s">
        <v>2119</v>
      </c>
      <c r="D25" s="236">
        <v>15</v>
      </c>
      <c r="E25" s="241" t="s">
        <v>2748</v>
      </c>
      <c r="F25" s="229" t="s">
        <v>2571</v>
      </c>
      <c r="G25" s="241"/>
      <c r="H25" s="225"/>
      <c r="I25" s="225"/>
      <c r="J25" s="225"/>
      <c r="K25" s="226"/>
      <c r="L25" s="225"/>
      <c r="M2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ED_HL_169</v>
      </c>
      <c r="N25" s="237" t="str">
        <f>IF(Tabla_Disp_ED[[#This Row],[Cuadro]]&lt;&gt;"",Tabla_Disp_ED[[#This Row],[Cuadro]],"")</f>
        <v/>
      </c>
    </row>
    <row r="26" spans="3:14" x14ac:dyDescent="0.3">
      <c r="C26" s="226" t="s">
        <v>2120</v>
      </c>
      <c r="D26" s="236">
        <v>16</v>
      </c>
      <c r="E26" s="241" t="s">
        <v>2552</v>
      </c>
      <c r="F26" s="229" t="s">
        <v>2572</v>
      </c>
      <c r="G26" s="241"/>
      <c r="H26" s="225"/>
      <c r="I26" s="225"/>
      <c r="J26" s="225"/>
      <c r="K26" s="226"/>
      <c r="L26" s="225"/>
      <c r="M2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ED_LL_016</v>
      </c>
      <c r="N26" s="237" t="str">
        <f>IF(Tabla_Disp_ED[[#This Row],[Cuadro]]&lt;&gt;"",Tabla_Disp_ED[[#This Row],[Cuadro]],"")</f>
        <v/>
      </c>
    </row>
    <row r="27" spans="3:14" x14ac:dyDescent="0.3">
      <c r="C27" s="226" t="s">
        <v>2121</v>
      </c>
      <c r="D27" s="236">
        <v>17</v>
      </c>
      <c r="E27" s="241" t="s">
        <v>2553</v>
      </c>
      <c r="F27" s="229" t="s">
        <v>2573</v>
      </c>
      <c r="G27" s="241"/>
      <c r="H27" s="225"/>
      <c r="I27" s="225"/>
      <c r="J27" s="225"/>
      <c r="K27" s="226"/>
      <c r="L27" s="225"/>
      <c r="M2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ED_LL_017</v>
      </c>
      <c r="N27" s="237" t="str">
        <f>IF(Tabla_Disp_ED[[#This Row],[Cuadro]]&lt;&gt;"",Tabla_Disp_ED[[#This Row],[Cuadro]],"")</f>
        <v/>
      </c>
    </row>
    <row r="28" spans="3:14" x14ac:dyDescent="0.3">
      <c r="C28" s="226" t="s">
        <v>2122</v>
      </c>
      <c r="D28" s="236">
        <v>18</v>
      </c>
      <c r="E28" s="241" t="s">
        <v>2554</v>
      </c>
      <c r="F28" s="229" t="s">
        <v>2574</v>
      </c>
      <c r="G28" s="241"/>
      <c r="H28" s="225"/>
      <c r="I28" s="225"/>
      <c r="J28" s="225"/>
      <c r="K28" s="226"/>
      <c r="L28" s="225"/>
      <c r="M2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ED_LL_018</v>
      </c>
      <c r="N28" s="237" t="str">
        <f>IF(Tabla_Disp_ED[[#This Row],[Cuadro]]&lt;&gt;"",Tabla_Disp_ED[[#This Row],[Cuadro]],"")</f>
        <v/>
      </c>
    </row>
    <row r="29" spans="3:14" x14ac:dyDescent="0.3">
      <c r="C29" s="226" t="s">
        <v>2123</v>
      </c>
      <c r="D29" s="236">
        <v>19</v>
      </c>
      <c r="E29" s="241" t="s">
        <v>2555</v>
      </c>
      <c r="F29" s="229" t="s">
        <v>2575</v>
      </c>
      <c r="G29" s="241"/>
      <c r="H29" s="225"/>
      <c r="I29" s="225"/>
      <c r="J29" s="225"/>
      <c r="K29" s="226"/>
      <c r="L29" s="225"/>
      <c r="M2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ED_LL_019</v>
      </c>
      <c r="N29" s="237" t="str">
        <f>IF(Tabla_Disp_ED[[#This Row],[Cuadro]]&lt;&gt;"",Tabla_Disp_ED[[#This Row],[Cuadro]],"")</f>
        <v/>
      </c>
    </row>
    <row r="30" spans="3:14" x14ac:dyDescent="0.3">
      <c r="C30" s="226" t="s">
        <v>2124</v>
      </c>
      <c r="D30" s="236">
        <v>20</v>
      </c>
      <c r="E30" s="241" t="s">
        <v>2556</v>
      </c>
      <c r="F30" s="229" t="s">
        <v>2576</v>
      </c>
      <c r="G30" s="241"/>
      <c r="H30" s="225"/>
      <c r="I30" s="225"/>
      <c r="J30" s="225"/>
      <c r="K30" s="226"/>
      <c r="L30" s="225"/>
      <c r="M3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ED_LL_020</v>
      </c>
      <c r="N30" s="237" t="str">
        <f>IF(Tabla_Disp_ED[[#This Row],[Cuadro]]&lt;&gt;"",Tabla_Disp_ED[[#This Row],[Cuadro]],"")</f>
        <v/>
      </c>
    </row>
    <row r="31" spans="3:14" x14ac:dyDescent="0.3">
      <c r="C31" s="226" t="s">
        <v>2125</v>
      </c>
      <c r="D31" s="236">
        <v>21</v>
      </c>
      <c r="E31" s="241" t="s">
        <v>2557</v>
      </c>
      <c r="F31" s="229" t="s">
        <v>2577</v>
      </c>
      <c r="G31" s="241"/>
      <c r="H31" s="225"/>
      <c r="I31" s="225"/>
      <c r="J31" s="225"/>
      <c r="K31" s="226"/>
      <c r="L31" s="225"/>
      <c r="M3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ED_LL_021</v>
      </c>
      <c r="N31" s="237" t="str">
        <f>IF(Tabla_Disp_ED[[#This Row],[Cuadro]]&lt;&gt;"",Tabla_Disp_ED[[#This Row],[Cuadro]],"")</f>
        <v/>
      </c>
    </row>
    <row r="32" spans="3:14" x14ac:dyDescent="0.3">
      <c r="C32" s="226" t="s">
        <v>2126</v>
      </c>
      <c r="D32" s="236">
        <v>22</v>
      </c>
      <c r="E32" s="241" t="s">
        <v>2558</v>
      </c>
      <c r="F32" s="229" t="s">
        <v>2578</v>
      </c>
      <c r="G32" s="241"/>
      <c r="H32" s="225"/>
      <c r="I32" s="225"/>
      <c r="J32" s="225"/>
      <c r="K32" s="226"/>
      <c r="L32" s="225"/>
      <c r="M3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ED_LL_022</v>
      </c>
      <c r="N32" s="237" t="str">
        <f>IF(Tabla_Disp_ED[[#This Row],[Cuadro]]&lt;&gt;"",Tabla_Disp_ED[[#This Row],[Cuadro]],"")</f>
        <v/>
      </c>
    </row>
    <row r="33" spans="3:14" x14ac:dyDescent="0.3">
      <c r="C33" s="226" t="s">
        <v>2127</v>
      </c>
      <c r="D33" s="236">
        <v>23</v>
      </c>
      <c r="E33" s="241" t="s">
        <v>2559</v>
      </c>
      <c r="F33" s="229" t="s">
        <v>2579</v>
      </c>
      <c r="G33" s="241"/>
      <c r="H33" s="225"/>
      <c r="I33" s="225"/>
      <c r="J33" s="225"/>
      <c r="K33" s="226"/>
      <c r="L33" s="225"/>
      <c r="M3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ED_LL_023</v>
      </c>
      <c r="N33" s="237" t="str">
        <f>IF(Tabla_Disp_ED[[#This Row],[Cuadro]]&lt;&gt;"",Tabla_Disp_ED[[#This Row],[Cuadro]],"")</f>
        <v/>
      </c>
    </row>
    <row r="34" spans="3:14" x14ac:dyDescent="0.3">
      <c r="C34" s="226" t="s">
        <v>2128</v>
      </c>
      <c r="D34" s="236">
        <v>24</v>
      </c>
      <c r="E34" s="241" t="s">
        <v>2560</v>
      </c>
      <c r="F34" s="229" t="s">
        <v>2580</v>
      </c>
      <c r="G34" s="241"/>
      <c r="H34" s="225"/>
      <c r="I34" s="225"/>
      <c r="J34" s="225"/>
      <c r="K34" s="226"/>
      <c r="L34" s="225"/>
      <c r="M3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ED_LL_024</v>
      </c>
      <c r="N34" s="237" t="str">
        <f>IF(Tabla_Disp_ED[[#This Row],[Cuadro]]&lt;&gt;"",Tabla_Disp_ED[[#This Row],[Cuadro]],"")</f>
        <v/>
      </c>
    </row>
    <row r="35" spans="3:14" x14ac:dyDescent="0.3">
      <c r="C35" s="226" t="s">
        <v>2129</v>
      </c>
      <c r="D35" s="236">
        <v>25</v>
      </c>
      <c r="E35" s="241" t="s">
        <v>2561</v>
      </c>
      <c r="F35" s="229" t="s">
        <v>2581</v>
      </c>
      <c r="G35" s="241"/>
      <c r="H35" s="225"/>
      <c r="I35" s="225"/>
      <c r="J35" s="225"/>
      <c r="K35" s="226"/>
      <c r="L35" s="225"/>
      <c r="M3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ED_LL_025</v>
      </c>
      <c r="N35" s="237" t="str">
        <f>IF(Tabla_Disp_ED[[#This Row],[Cuadro]]&lt;&gt;"",Tabla_Disp_ED[[#This Row],[Cuadro]],"")</f>
        <v/>
      </c>
    </row>
    <row r="36" spans="3:14" x14ac:dyDescent="0.3">
      <c r="C36" s="226" t="s">
        <v>2130</v>
      </c>
      <c r="D36" s="236">
        <v>26</v>
      </c>
      <c r="E36" s="241" t="s">
        <v>2562</v>
      </c>
      <c r="F36" s="229" t="s">
        <v>2582</v>
      </c>
      <c r="G36" s="241"/>
      <c r="H36" s="225"/>
      <c r="I36" s="225"/>
      <c r="J36" s="225"/>
      <c r="K36" s="226"/>
      <c r="L36" s="225"/>
      <c r="M3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ED_LL_026</v>
      </c>
      <c r="N36" s="237" t="str">
        <f>IF(Tabla_Disp_ED[[#This Row],[Cuadro]]&lt;&gt;"",Tabla_Disp_ED[[#This Row],[Cuadro]],"")</f>
        <v/>
      </c>
    </row>
    <row r="37" spans="3:14" x14ac:dyDescent="0.3">
      <c r="C37" s="226" t="s">
        <v>2131</v>
      </c>
      <c r="D37" s="236">
        <v>27</v>
      </c>
      <c r="E37" s="241" t="s">
        <v>2563</v>
      </c>
      <c r="F37" s="229" t="s">
        <v>2583</v>
      </c>
      <c r="G37" s="241"/>
      <c r="H37" s="225"/>
      <c r="I37" s="225"/>
      <c r="J37" s="225"/>
      <c r="K37" s="226"/>
      <c r="L37" s="225"/>
      <c r="M3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ED_LL_027</v>
      </c>
      <c r="N37" s="237" t="str">
        <f>IF(Tabla_Disp_ED[[#This Row],[Cuadro]]&lt;&gt;"",Tabla_Disp_ED[[#This Row],[Cuadro]],"")</f>
        <v/>
      </c>
    </row>
    <row r="38" spans="3:14" x14ac:dyDescent="0.3">
      <c r="C38" s="226" t="s">
        <v>2132</v>
      </c>
      <c r="D38" s="236">
        <v>28</v>
      </c>
      <c r="E38" s="241" t="s">
        <v>2564</v>
      </c>
      <c r="F38" s="229" t="s">
        <v>2584</v>
      </c>
      <c r="G38" s="241"/>
      <c r="H38" s="225"/>
      <c r="I38" s="225"/>
      <c r="J38" s="225"/>
      <c r="K38" s="226"/>
      <c r="L38" s="225"/>
      <c r="M3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ED_LL_028</v>
      </c>
      <c r="N38" s="237" t="str">
        <f>IF(Tabla_Disp_ED[[#This Row],[Cuadro]]&lt;&gt;"",Tabla_Disp_ED[[#This Row],[Cuadro]],"")</f>
        <v/>
      </c>
    </row>
    <row r="39" spans="3:14" x14ac:dyDescent="0.3">
      <c r="C39" s="226" t="s">
        <v>2133</v>
      </c>
      <c r="D39" s="236">
        <v>29</v>
      </c>
      <c r="E39" s="241" t="s">
        <v>2565</v>
      </c>
      <c r="F39" s="229" t="s">
        <v>2585</v>
      </c>
      <c r="G39" s="241"/>
      <c r="H39" s="225"/>
      <c r="I39" s="225"/>
      <c r="J39" s="225"/>
      <c r="K39" s="226"/>
      <c r="L39" s="225"/>
      <c r="M3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ED_LL_029</v>
      </c>
      <c r="N39" s="237" t="str">
        <f>IF(Tabla_Disp_ED[[#This Row],[Cuadro]]&lt;&gt;"",Tabla_Disp_ED[[#This Row],[Cuadro]],"")</f>
        <v/>
      </c>
    </row>
    <row r="40" spans="3:14" x14ac:dyDescent="0.3">
      <c r="C40" s="226" t="s">
        <v>2134</v>
      </c>
      <c r="D40" s="236">
        <v>30</v>
      </c>
      <c r="E40" s="241" t="s">
        <v>2566</v>
      </c>
      <c r="F40" s="229" t="s">
        <v>2586</v>
      </c>
      <c r="G40" s="241"/>
      <c r="H40" s="225"/>
      <c r="I40" s="225"/>
      <c r="J40" s="225"/>
      <c r="K40" s="226"/>
      <c r="L40" s="225"/>
      <c r="M4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ED_LL_030</v>
      </c>
      <c r="N40" s="237" t="str">
        <f>IF(Tabla_Disp_ED[[#This Row],[Cuadro]]&lt;&gt;"",Tabla_Disp_ED[[#This Row],[Cuadro]],"")</f>
        <v/>
      </c>
    </row>
  </sheetData>
  <mergeCells count="3">
    <mergeCell ref="O1:O6"/>
    <mergeCell ref="B2:C2"/>
    <mergeCell ref="H9:I9"/>
  </mergeCells>
  <phoneticPr fontId="23" type="noConversion"/>
  <conditionalFormatting sqref="G11:G40">
    <cfRule type="cellIs" dxfId="145" priority="4" operator="equal">
      <formula>"X"</formula>
    </cfRule>
  </conditionalFormatting>
  <conditionalFormatting sqref="C11:D40 M11:N40">
    <cfRule type="cellIs" dxfId="144" priority="3" operator="notEqual">
      <formula>""""""</formula>
    </cfRule>
  </conditionalFormatting>
  <dataValidations count="4">
    <dataValidation type="whole" allowBlank="1" showInputMessage="1" showErrorMessage="1" sqref="I9 I11:I4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4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40" xr:uid="{B778655C-05DE-4571-91C2-F9FC716B766E}">
      <formula1>"X"</formula1>
    </dataValidation>
    <dataValidation allowBlank="1" showInputMessage="1" showErrorMessage="1" promptTitle="Generacion automatica" prompt="No modificar." sqref="C11:D40 M11:N4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Q30"/>
  <sheetViews>
    <sheetView showGridLines="0" topLeftCell="F1" zoomScale="85" zoomScaleNormal="85" workbookViewId="0">
      <pane ySplit="10" topLeftCell="A11" activePane="bottomLeft" state="frozen"/>
      <selection pane="bottomLeft" activeCell="C11" sqref="C11:P3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8554687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1"/>
    </row>
    <row r="2" spans="1:17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1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1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1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1"/>
    </row>
    <row r="6" spans="1:17" ht="18" customHeight="1" x14ac:dyDescent="0.35">
      <c r="A6" s="46"/>
      <c r="B6" s="53" t="s">
        <v>1655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1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1632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1656</v>
      </c>
      <c r="D11" s="236">
        <v>1</v>
      </c>
      <c r="E11" s="241" t="s">
        <v>1753</v>
      </c>
      <c r="F11" s="229" t="s">
        <v>1683</v>
      </c>
      <c r="G11" s="241"/>
      <c r="H11" s="225"/>
      <c r="I11" s="225"/>
      <c r="J11" s="225"/>
      <c r="K11" s="225"/>
      <c r="L11" s="225"/>
      <c r="M11" s="226"/>
      <c r="N11" s="225"/>
      <c r="O1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EA_TTI_01</v>
      </c>
      <c r="P11" s="237" t="str">
        <f>IF(Tabla_Disp_EA[[#This Row],[Cuadro]]&lt;&gt;"",Tabla_Disp_EA[[#This Row],[Cuadro]],"")</f>
        <v/>
      </c>
      <c r="Q11" s="47"/>
    </row>
    <row r="12" spans="1:17" x14ac:dyDescent="0.3">
      <c r="C12" s="226" t="s">
        <v>1657</v>
      </c>
      <c r="D12" s="236">
        <v>2</v>
      </c>
      <c r="E12" s="241" t="s">
        <v>65</v>
      </c>
      <c r="F12" s="229" t="s">
        <v>1683</v>
      </c>
      <c r="G12" s="241"/>
      <c r="H12" s="225"/>
      <c r="I12" s="225"/>
      <c r="J12" s="225"/>
      <c r="K12" s="225"/>
      <c r="L12" s="225"/>
      <c r="M12" s="226"/>
      <c r="N12" s="225"/>
      <c r="O1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EA_TTI_102</v>
      </c>
      <c r="P12" s="237" t="str">
        <f>IF(Tabla_Disp_EA[[#This Row],[Cuadro]]&lt;&gt;"",Tabla_Disp_EA[[#This Row],[Cuadro]],"")</f>
        <v/>
      </c>
    </row>
    <row r="13" spans="1:17" x14ac:dyDescent="0.3">
      <c r="C13" s="226" t="s">
        <v>1658</v>
      </c>
      <c r="D13" s="236">
        <v>3</v>
      </c>
      <c r="E13" s="241" t="s">
        <v>91</v>
      </c>
      <c r="F13" s="229" t="s">
        <v>1683</v>
      </c>
      <c r="G13" s="241"/>
      <c r="H13" s="225"/>
      <c r="I13" s="225"/>
      <c r="J13" s="225"/>
      <c r="K13" s="225"/>
      <c r="L13" s="225"/>
      <c r="M13" s="226"/>
      <c r="N13" s="225"/>
      <c r="O1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EA_TTI_103</v>
      </c>
      <c r="P13" s="237" t="str">
        <f>IF(Tabla_Disp_EA[[#This Row],[Cuadro]]&lt;&gt;"",Tabla_Disp_EA[[#This Row],[Cuadro]],"")</f>
        <v/>
      </c>
    </row>
    <row r="14" spans="1:17" x14ac:dyDescent="0.3">
      <c r="C14" s="226" t="s">
        <v>1659</v>
      </c>
      <c r="D14" s="236">
        <v>4</v>
      </c>
      <c r="E14" s="241" t="s">
        <v>66</v>
      </c>
      <c r="F14" s="229" t="s">
        <v>1683</v>
      </c>
      <c r="G14" s="241"/>
      <c r="H14" s="225"/>
      <c r="I14" s="225"/>
      <c r="J14" s="225"/>
      <c r="K14" s="225"/>
      <c r="L14" s="225"/>
      <c r="M14" s="226"/>
      <c r="N14" s="225"/>
      <c r="O1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EA_TTI_104</v>
      </c>
      <c r="P14" s="237" t="str">
        <f>IF(Tabla_Disp_EA[[#This Row],[Cuadro]]&lt;&gt;"",Tabla_Disp_EA[[#This Row],[Cuadro]],"")</f>
        <v/>
      </c>
    </row>
    <row r="15" spans="1:17" x14ac:dyDescent="0.3">
      <c r="C15" s="226" t="s">
        <v>1660</v>
      </c>
      <c r="D15" s="236">
        <v>5</v>
      </c>
      <c r="E15" s="241" t="s">
        <v>67</v>
      </c>
      <c r="F15" s="229" t="s">
        <v>1683</v>
      </c>
      <c r="G15" s="241"/>
      <c r="H15" s="225"/>
      <c r="I15" s="225"/>
      <c r="J15" s="225"/>
      <c r="K15" s="225"/>
      <c r="L15" s="225"/>
      <c r="M15" s="226"/>
      <c r="N15" s="225"/>
      <c r="O1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EA_TTI_105</v>
      </c>
      <c r="P15" s="237" t="str">
        <f>IF(Tabla_Disp_EA[[#This Row],[Cuadro]]&lt;&gt;"",Tabla_Disp_EA[[#This Row],[Cuadro]],"")</f>
        <v/>
      </c>
    </row>
    <row r="16" spans="1:17" x14ac:dyDescent="0.3">
      <c r="C16" s="226" t="s">
        <v>1661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EA_006</v>
      </c>
      <c r="P16" s="237" t="str">
        <f>IF(Tabla_Disp_EA[[#This Row],[Cuadro]]&lt;&gt;"",Tabla_Disp_EA[[#This Row],[Cuadro]],"")</f>
        <v/>
      </c>
    </row>
    <row r="17" spans="3:16" x14ac:dyDescent="0.3">
      <c r="C17" s="226" t="s">
        <v>1662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6"/>
      <c r="N17" s="225"/>
      <c r="O17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EA_007</v>
      </c>
      <c r="P17" s="237" t="str">
        <f>IF(Tabla_Disp_EA[[#This Row],[Cuadro]]&lt;&gt;"",Tabla_Disp_EA[[#This Row],[Cuadro]],"")</f>
        <v/>
      </c>
    </row>
    <row r="18" spans="3:16" x14ac:dyDescent="0.3">
      <c r="C18" s="226" t="s">
        <v>1663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EA_008</v>
      </c>
      <c r="P18" s="237" t="str">
        <f>IF(Tabla_Disp_EA[[#This Row],[Cuadro]]&lt;&gt;"",Tabla_Disp_EA[[#This Row],[Cuadro]],"")</f>
        <v/>
      </c>
    </row>
    <row r="19" spans="3:16" x14ac:dyDescent="0.3">
      <c r="C19" s="226" t="s">
        <v>1664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EA_009</v>
      </c>
      <c r="P19" s="237" t="str">
        <f>IF(Tabla_Disp_EA[[#This Row],[Cuadro]]&lt;&gt;"",Tabla_Disp_EA[[#This Row],[Cuadro]],"")</f>
        <v/>
      </c>
    </row>
    <row r="20" spans="3:16" x14ac:dyDescent="0.3">
      <c r="C20" s="226" t="s">
        <v>1665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EA_010</v>
      </c>
      <c r="P20" s="237" t="str">
        <f>IF(Tabla_Disp_EA[[#This Row],[Cuadro]]&lt;&gt;"",Tabla_Disp_EA[[#This Row],[Cuadro]],"")</f>
        <v/>
      </c>
    </row>
    <row r="21" spans="3:16" x14ac:dyDescent="0.3">
      <c r="C21" s="226" t="s">
        <v>1666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EA_011</v>
      </c>
      <c r="P21" s="237" t="str">
        <f>IF(Tabla_Disp_EA[[#This Row],[Cuadro]]&lt;&gt;"",Tabla_Disp_EA[[#This Row],[Cuadro]],"")</f>
        <v/>
      </c>
    </row>
    <row r="22" spans="3:16" x14ac:dyDescent="0.3">
      <c r="C22" s="226" t="s">
        <v>1667</v>
      </c>
      <c r="D22" s="236">
        <v>12</v>
      </c>
      <c r="E22" s="241" t="s">
        <v>1679</v>
      </c>
      <c r="F22" s="229" t="s">
        <v>1683</v>
      </c>
      <c r="G22" s="241"/>
      <c r="H22" s="225"/>
      <c r="I22" s="225"/>
      <c r="J22" s="225"/>
      <c r="K22" s="225"/>
      <c r="L22" s="225"/>
      <c r="M22" s="226"/>
      <c r="N22" s="225"/>
      <c r="O2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EA_TTI_112</v>
      </c>
      <c r="P22" s="237" t="str">
        <f>IF(Tabla_Disp_EA[[#This Row],[Cuadro]]&lt;&gt;"",Tabla_Disp_EA[[#This Row],[Cuadro]],"")</f>
        <v/>
      </c>
    </row>
    <row r="23" spans="3:16" x14ac:dyDescent="0.3">
      <c r="C23" s="226" t="s">
        <v>1668</v>
      </c>
      <c r="D23" s="236">
        <v>13</v>
      </c>
      <c r="E23" s="241" t="s">
        <v>1680</v>
      </c>
      <c r="F23" s="229" t="s">
        <v>1683</v>
      </c>
      <c r="G23" s="241"/>
      <c r="H23" s="225"/>
      <c r="I23" s="225"/>
      <c r="J23" s="225"/>
      <c r="K23" s="225"/>
      <c r="L23" s="225"/>
      <c r="M23" s="226"/>
      <c r="N23" s="225"/>
      <c r="O2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EA_TTI_113</v>
      </c>
      <c r="P23" s="237" t="str">
        <f>IF(Tabla_Disp_EA[[#This Row],[Cuadro]]&lt;&gt;"",Tabla_Disp_EA[[#This Row],[Cuadro]],"")</f>
        <v/>
      </c>
    </row>
    <row r="24" spans="3:16" x14ac:dyDescent="0.3">
      <c r="C24" s="226" t="s">
        <v>1669</v>
      </c>
      <c r="D24" s="236">
        <v>14</v>
      </c>
      <c r="E24" s="241" t="s">
        <v>1681</v>
      </c>
      <c r="F24" s="229" t="s">
        <v>1683</v>
      </c>
      <c r="G24" s="241"/>
      <c r="H24" s="225"/>
      <c r="I24" s="225"/>
      <c r="J24" s="225"/>
      <c r="K24" s="225"/>
      <c r="L24" s="225"/>
      <c r="M24" s="226"/>
      <c r="N24" s="225"/>
      <c r="O2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EA_TTI_114</v>
      </c>
      <c r="P24" s="237" t="str">
        <f>IF(Tabla_Disp_EA[[#This Row],[Cuadro]]&lt;&gt;"",Tabla_Disp_EA[[#This Row],[Cuadro]],"")</f>
        <v/>
      </c>
    </row>
    <row r="25" spans="3:16" x14ac:dyDescent="0.3">
      <c r="C25" s="226" t="s">
        <v>1670</v>
      </c>
      <c r="D25" s="236">
        <v>15</v>
      </c>
      <c r="E25" s="241" t="s">
        <v>1682</v>
      </c>
      <c r="F25" s="229" t="s">
        <v>1683</v>
      </c>
      <c r="G25" s="241"/>
      <c r="H25" s="225"/>
      <c r="I25" s="225"/>
      <c r="J25" s="225"/>
      <c r="K25" s="225"/>
      <c r="L25" s="225"/>
      <c r="M25" s="226"/>
      <c r="N25" s="225"/>
      <c r="O2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EA_TTI_115</v>
      </c>
      <c r="P25" s="237" t="str">
        <f>IF(Tabla_Disp_EA[[#This Row],[Cuadro]]&lt;&gt;"",Tabla_Disp_EA[[#This Row],[Cuadro]],"")</f>
        <v/>
      </c>
    </row>
    <row r="26" spans="3:16" x14ac:dyDescent="0.3">
      <c r="C26" s="226" t="s">
        <v>1671</v>
      </c>
      <c r="D26" s="236">
        <v>16</v>
      </c>
      <c r="E26" s="241"/>
      <c r="F26" s="229"/>
      <c r="G26" s="241"/>
      <c r="H26" s="225"/>
      <c r="I26" s="225"/>
      <c r="J26" s="225"/>
      <c r="K26" s="225"/>
      <c r="L26" s="225"/>
      <c r="M26" s="226"/>
      <c r="N26" s="225"/>
      <c r="O26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EA_016</v>
      </c>
      <c r="P26" s="237" t="str">
        <f>IF(Tabla_Disp_EA[[#This Row],[Cuadro]]&lt;&gt;"",Tabla_Disp_EA[[#This Row],[Cuadro]],"")</f>
        <v/>
      </c>
    </row>
    <row r="27" spans="3:16" x14ac:dyDescent="0.3">
      <c r="C27" s="226" t="s">
        <v>1672</v>
      </c>
      <c r="D27" s="236">
        <v>17</v>
      </c>
      <c r="E27" s="241"/>
      <c r="F27" s="229"/>
      <c r="G27" s="241"/>
      <c r="H27" s="225"/>
      <c r="I27" s="225"/>
      <c r="J27" s="225"/>
      <c r="K27" s="225"/>
      <c r="L27" s="225"/>
      <c r="M27" s="226"/>
      <c r="N27" s="225"/>
      <c r="O27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EA_017</v>
      </c>
      <c r="P27" s="237" t="str">
        <f>IF(Tabla_Disp_EA[[#This Row],[Cuadro]]&lt;&gt;"",Tabla_Disp_EA[[#This Row],[Cuadro]],"")</f>
        <v/>
      </c>
    </row>
    <row r="28" spans="3:16" x14ac:dyDescent="0.3">
      <c r="C28" s="226" t="s">
        <v>1673</v>
      </c>
      <c r="D28" s="236">
        <v>18</v>
      </c>
      <c r="E28" s="241"/>
      <c r="F28" s="229"/>
      <c r="G28" s="241"/>
      <c r="H28" s="225"/>
      <c r="I28" s="225"/>
      <c r="J28" s="225"/>
      <c r="K28" s="225"/>
      <c r="L28" s="225"/>
      <c r="M28" s="226"/>
      <c r="N28" s="225"/>
      <c r="O28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EA_018</v>
      </c>
      <c r="P28" s="237" t="str">
        <f>IF(Tabla_Disp_EA[[#This Row],[Cuadro]]&lt;&gt;"",Tabla_Disp_EA[[#This Row],[Cuadro]],"")</f>
        <v/>
      </c>
    </row>
    <row r="29" spans="3:16" x14ac:dyDescent="0.3">
      <c r="C29" s="226" t="s">
        <v>1674</v>
      </c>
      <c r="D29" s="236">
        <v>19</v>
      </c>
      <c r="E29" s="241" t="s">
        <v>2041</v>
      </c>
      <c r="F29" s="229" t="s">
        <v>2042</v>
      </c>
      <c r="G29" s="241"/>
      <c r="H29" s="225"/>
      <c r="I29" s="225"/>
      <c r="J29" s="225"/>
      <c r="K29" s="225"/>
      <c r="L29" s="225"/>
      <c r="M29" s="226"/>
      <c r="N29" s="225"/>
      <c r="O29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EA_PTI_101</v>
      </c>
      <c r="P29" s="237" t="str">
        <f>IF(Tabla_Disp_EA[[#This Row],[Cuadro]]&lt;&gt;"",Tabla_Disp_EA[[#This Row],[Cuadro]],"")</f>
        <v/>
      </c>
    </row>
    <row r="30" spans="3:16" x14ac:dyDescent="0.3">
      <c r="C30" s="226" t="s">
        <v>1675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6"/>
      <c r="N30" s="225"/>
      <c r="O30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EA_020</v>
      </c>
      <c r="P30" s="237" t="str">
        <f>IF(Tabla_Disp_EA[[#This Row],[Cuadro]]&lt;&gt;"",Tabla_Disp_EA[[#This Row],[Cuadro]],"")</f>
        <v/>
      </c>
    </row>
  </sheetData>
  <mergeCells count="2">
    <mergeCell ref="Q1:Q6"/>
    <mergeCell ref="B2:C2"/>
  </mergeCells>
  <phoneticPr fontId="23" type="noConversion"/>
  <conditionalFormatting sqref="G11:G30">
    <cfRule type="cellIs" dxfId="129" priority="2" operator="equal">
      <formula>"X"</formula>
    </cfRule>
  </conditionalFormatting>
  <conditionalFormatting sqref="C11:D30 O11:P30">
    <cfRule type="cellIs" dxfId="128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30 O11:P30" xr:uid="{DAB927BB-C898-4389-9982-96D0D6EDA3AC}"/>
    <dataValidation type="list" allowBlank="1" showInputMessage="1" showErrorMessage="1" promptTitle="Pruebas FAT" prompt="Marcar cuando este probado" sqref="G11:G30" xr:uid="{E0C380A1-FBBF-417B-A46C-9D9BC67267BC}">
      <formula1>"X"</formula1>
    </dataValidation>
    <dataValidation type="list" allowBlank="1" showInputMessage="1" showErrorMessage="1" promptTitle="Cuadro" prompt="Selecciona de la lista desplegable" sqref="M11:M3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Q25"/>
  <sheetViews>
    <sheetView showGridLines="0" topLeftCell="F1" zoomScale="85" zoomScaleNormal="85" workbookViewId="0">
      <pane ySplit="10" topLeftCell="A11" activePane="bottomLeft" state="frozen"/>
      <selection pane="bottomLeft" activeCell="C11" sqref="C11:P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4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1"/>
    </row>
    <row r="2" spans="1:17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1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1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1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1"/>
    </row>
    <row r="6" spans="1:17" ht="18" customHeight="1" x14ac:dyDescent="0.35">
      <c r="A6" s="46"/>
      <c r="B6" s="53" t="s">
        <v>1704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1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1691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1692</v>
      </c>
      <c r="D11" s="236">
        <v>1</v>
      </c>
      <c r="E11" s="241" t="s">
        <v>1754</v>
      </c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SA_VPCT_01</v>
      </c>
      <c r="P11" s="237" t="str">
        <f>IF(Tabla_Disp_SA[[#This Row],[Cuadro]]&lt;&gt;"",Tabla_Disp_SA[[#This Row],[Cuadro]],"")</f>
        <v/>
      </c>
      <c r="Q11" s="47"/>
    </row>
    <row r="12" spans="1:17" x14ac:dyDescent="0.3">
      <c r="C12" s="226" t="s">
        <v>1693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SA_002</v>
      </c>
      <c r="P12" s="237" t="str">
        <f>IF(Tabla_Disp_SA[[#This Row],[Cuadro]]&lt;&gt;"",Tabla_Disp_SA[[#This Row],[Cuadro]],"")</f>
        <v/>
      </c>
    </row>
    <row r="13" spans="1:17" x14ac:dyDescent="0.3">
      <c r="C13" s="226" t="s">
        <v>1694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SA_003</v>
      </c>
      <c r="P13" s="237" t="str">
        <f>IF(Tabla_Disp_SA[[#This Row],[Cuadro]]&lt;&gt;"",Tabla_Disp_SA[[#This Row],[Cuadro]],"")</f>
        <v/>
      </c>
    </row>
    <row r="14" spans="1:17" x14ac:dyDescent="0.3">
      <c r="C14" s="226" t="s">
        <v>1695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SA_004</v>
      </c>
      <c r="P14" s="237" t="str">
        <f>IF(Tabla_Disp_SA[[#This Row],[Cuadro]]&lt;&gt;"",Tabla_Disp_SA[[#This Row],[Cuadro]],"")</f>
        <v/>
      </c>
    </row>
    <row r="15" spans="1:17" x14ac:dyDescent="0.3">
      <c r="C15" s="226" t="s">
        <v>1696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6"/>
      <c r="N15" s="225"/>
      <c r="O15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SA_005</v>
      </c>
      <c r="P15" s="237" t="str">
        <f>IF(Tabla_Disp_SA[[#This Row],[Cuadro]]&lt;&gt;"",Tabla_Disp_SA[[#This Row],[Cuadro]],"")</f>
        <v/>
      </c>
    </row>
    <row r="16" spans="1:17" x14ac:dyDescent="0.3">
      <c r="C16" s="226" t="s">
        <v>1697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SA_006</v>
      </c>
      <c r="P16" s="237" t="str">
        <f>IF(Tabla_Disp_SA[[#This Row],[Cuadro]]&lt;&gt;"",Tabla_Disp_SA[[#This Row],[Cuadro]],"")</f>
        <v/>
      </c>
    </row>
    <row r="17" spans="3:16" x14ac:dyDescent="0.3">
      <c r="C17" s="226" t="s">
        <v>1698</v>
      </c>
      <c r="D17" s="236">
        <v>7</v>
      </c>
      <c r="E17" s="241" t="s">
        <v>1741</v>
      </c>
      <c r="F17" s="229" t="s">
        <v>1742</v>
      </c>
      <c r="G17" s="241"/>
      <c r="H17" s="225"/>
      <c r="I17" s="225"/>
      <c r="J17" s="225"/>
      <c r="K17" s="225"/>
      <c r="L17" s="225"/>
      <c r="M17" s="226"/>
      <c r="N17" s="225"/>
      <c r="O17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SA_VPCT_555</v>
      </c>
      <c r="P17" s="237" t="str">
        <f>IF(Tabla_Disp_SA[[#This Row],[Cuadro]]&lt;&gt;"",Tabla_Disp_SA[[#This Row],[Cuadro]],"")</f>
        <v/>
      </c>
    </row>
    <row r="18" spans="3:16" x14ac:dyDescent="0.3">
      <c r="C18" s="226" t="s">
        <v>1699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SA_008</v>
      </c>
      <c r="P18" s="237" t="str">
        <f>IF(Tabla_Disp_SA[[#This Row],[Cuadro]]&lt;&gt;"",Tabla_Disp_SA[[#This Row],[Cuadro]],"")</f>
        <v/>
      </c>
    </row>
    <row r="19" spans="3:16" x14ac:dyDescent="0.3">
      <c r="C19" s="226" t="s">
        <v>1700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SA_009</v>
      </c>
      <c r="P19" s="237" t="str">
        <f>IF(Tabla_Disp_SA[[#This Row],[Cuadro]]&lt;&gt;"",Tabla_Disp_SA[[#This Row],[Cuadro]],"")</f>
        <v/>
      </c>
    </row>
    <row r="20" spans="3:16" x14ac:dyDescent="0.3">
      <c r="C20" s="226" t="s">
        <v>1701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SA_010</v>
      </c>
      <c r="P20" s="237" t="str">
        <f>IF(Tabla_Disp_SA[[#This Row],[Cuadro]]&lt;&gt;"",Tabla_Disp_SA[[#This Row],[Cuadro]],"")</f>
        <v/>
      </c>
    </row>
    <row r="21" spans="3:16" x14ac:dyDescent="0.3">
      <c r="C21" s="226" t="s">
        <v>1702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SA_011</v>
      </c>
      <c r="P21" s="237" t="str">
        <f>IF(Tabla_Disp_SA[[#This Row],[Cuadro]]&lt;&gt;"",Tabla_Disp_SA[[#This Row],[Cuadro]],"")</f>
        <v/>
      </c>
    </row>
    <row r="22" spans="3:16" x14ac:dyDescent="0.3">
      <c r="C22" s="226" t="s">
        <v>1703</v>
      </c>
      <c r="D22" s="236">
        <v>12</v>
      </c>
      <c r="E22" s="241"/>
      <c r="F22" s="229"/>
      <c r="G22" s="241"/>
      <c r="H22" s="225"/>
      <c r="I22" s="225"/>
      <c r="J22" s="225"/>
      <c r="K22" s="225"/>
      <c r="L22" s="225"/>
      <c r="M22" s="226"/>
      <c r="N22" s="225"/>
      <c r="O22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SA_012</v>
      </c>
      <c r="P22" s="237" t="str">
        <f>IF(Tabla_Disp_SA[[#This Row],[Cuadro]]&lt;&gt;"",Tabla_Disp_SA[[#This Row],[Cuadro]],"")</f>
        <v/>
      </c>
    </row>
    <row r="23" spans="3:16" x14ac:dyDescent="0.3">
      <c r="C23" s="226" t="s">
        <v>2010</v>
      </c>
      <c r="D23" s="236">
        <v>13</v>
      </c>
      <c r="E23" s="241" t="s">
        <v>2043</v>
      </c>
      <c r="F23" s="229" t="s">
        <v>2044</v>
      </c>
      <c r="G23" s="241"/>
      <c r="H23" s="225"/>
      <c r="I23" s="225"/>
      <c r="J23" s="225"/>
      <c r="K23" s="225"/>
      <c r="L23" s="225"/>
      <c r="M23" s="226"/>
      <c r="N23" s="225"/>
      <c r="O23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SA_VPCT_234</v>
      </c>
      <c r="P23" s="237" t="str">
        <f>IF(Tabla_Disp_SA[[#This Row],[Cuadro]]&lt;&gt;"",Tabla_Disp_SA[[#This Row],[Cuadro]],"")</f>
        <v/>
      </c>
    </row>
    <row r="24" spans="3:16" x14ac:dyDescent="0.3">
      <c r="C24" s="226" t="s">
        <v>2011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6"/>
      <c r="N24" s="225"/>
      <c r="O24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SA_014</v>
      </c>
      <c r="P24" s="237" t="str">
        <f>IF(Tabla_Disp_SA[[#This Row],[Cuadro]]&lt;&gt;"",Tabla_Disp_SA[[#This Row],[Cuadro]],"")</f>
        <v/>
      </c>
    </row>
    <row r="25" spans="3:16" x14ac:dyDescent="0.3">
      <c r="C25" s="226" t="s">
        <v>2012</v>
      </c>
      <c r="D25" s="236">
        <v>15</v>
      </c>
      <c r="E25" s="241"/>
      <c r="F25" s="229"/>
      <c r="G25" s="241"/>
      <c r="H25" s="225"/>
      <c r="I25" s="225"/>
      <c r="J25" s="225"/>
      <c r="K25" s="225"/>
      <c r="L25" s="225"/>
      <c r="M25" s="226"/>
      <c r="N25" s="225"/>
      <c r="O25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SA_015</v>
      </c>
      <c r="P25" s="237" t="str">
        <f>IF(Tabla_Disp_SA[[#This Row],[Cuadro]]&lt;&gt;"",Tabla_Disp_SA[[#This Row],[Cuadro]],"")</f>
        <v/>
      </c>
    </row>
  </sheetData>
  <mergeCells count="2">
    <mergeCell ref="Q1:Q6"/>
    <mergeCell ref="B2:C2"/>
  </mergeCells>
  <conditionalFormatting sqref="G11:G25">
    <cfRule type="cellIs" dxfId="111" priority="2" operator="equal">
      <formula>"X"</formula>
    </cfRule>
  </conditionalFormatting>
  <conditionalFormatting sqref="C11:D25 O11:P25">
    <cfRule type="cellIs" dxfId="110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C11:D25 O11:P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S35"/>
  <sheetViews>
    <sheetView showGridLines="0" zoomScale="85" zoomScaleNormal="85" workbookViewId="0">
      <pane ySplit="10" topLeftCell="A11" activePane="bottomLeft" state="frozen"/>
      <selection pane="bottomLeft" activeCell="F34" sqref="F3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5">
      <c r="A1" s="46"/>
      <c r="B1" s="46"/>
      <c r="C1" s="46"/>
      <c r="D1" s="86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46"/>
      <c r="S1" s="261"/>
    </row>
    <row r="2" spans="1:19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48"/>
      <c r="H2" s="48"/>
      <c r="I2" s="48"/>
      <c r="J2" s="202"/>
      <c r="K2" s="202"/>
      <c r="L2" s="202"/>
      <c r="M2" s="202"/>
      <c r="N2" s="202"/>
      <c r="O2" s="202"/>
      <c r="P2" s="202"/>
      <c r="Q2" s="202"/>
      <c r="R2" s="46"/>
      <c r="S2" s="261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1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1"/>
    </row>
    <row r="5" spans="1:19" ht="12.75" customHeight="1" x14ac:dyDescent="0.35">
      <c r="A5" s="46"/>
      <c r="B5" s="46"/>
      <c r="C5" s="52"/>
      <c r="D5" s="86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46"/>
      <c r="S5" s="261"/>
    </row>
    <row r="6" spans="1:19" ht="18" customHeight="1" x14ac:dyDescent="0.35">
      <c r="A6" s="46"/>
      <c r="B6" s="53" t="s">
        <v>1443</v>
      </c>
      <c r="C6" s="51"/>
      <c r="D6" s="87"/>
      <c r="E6" s="51"/>
      <c r="F6" s="216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46"/>
      <c r="S6" s="261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7" t="s">
        <v>252</v>
      </c>
      <c r="I9" s="267"/>
      <c r="J9" s="267" t="s">
        <v>43</v>
      </c>
      <c r="K9" s="267"/>
      <c r="L9" s="267" t="s">
        <v>44</v>
      </c>
      <c r="M9" s="267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1447</v>
      </c>
      <c r="K10" s="211" t="s">
        <v>1448</v>
      </c>
      <c r="L10" s="211" t="s">
        <v>1449</v>
      </c>
      <c r="M10" s="211" t="s">
        <v>1450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1635</v>
      </c>
      <c r="D11" s="236">
        <v>1</v>
      </c>
      <c r="E11" s="241" t="s">
        <v>2587</v>
      </c>
      <c r="F11" s="229" t="s">
        <v>63</v>
      </c>
      <c r="G11" s="241"/>
      <c r="H11" s="225"/>
      <c r="I11" s="225"/>
      <c r="J11" s="225"/>
      <c r="K11" s="225"/>
      <c r="L11" s="225"/>
      <c r="M11" s="225"/>
      <c r="N11" s="225"/>
      <c r="O11" s="226" t="s">
        <v>64</v>
      </c>
      <c r="P11" s="225"/>
      <c r="Q11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V_VA_123</v>
      </c>
      <c r="R11" s="237" t="str">
        <f>IF(Tabla_Disp_V[[#This Row],[Cuadro]]&lt;&gt;"",Tabla_Disp_V[[#This Row],[Cuadro]],"")</f>
        <v>ED02 ZONA 1 ARMARIO PRINCIPAL</v>
      </c>
      <c r="S11" s="47"/>
    </row>
    <row r="12" spans="1:19" x14ac:dyDescent="0.3">
      <c r="C12" s="226" t="s">
        <v>1636</v>
      </c>
      <c r="D12" s="236">
        <v>2</v>
      </c>
      <c r="E12" s="241" t="s">
        <v>2588</v>
      </c>
      <c r="F12" s="229" t="s">
        <v>63</v>
      </c>
      <c r="G12" s="241"/>
      <c r="H12" s="225"/>
      <c r="I12" s="225"/>
      <c r="J12" s="225"/>
      <c r="K12" s="225"/>
      <c r="L12" s="225"/>
      <c r="M12" s="225"/>
      <c r="N12" s="225"/>
      <c r="O12" s="226" t="s">
        <v>64</v>
      </c>
      <c r="P12" s="225"/>
      <c r="Q12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V_VA_124</v>
      </c>
      <c r="R12" s="237" t="str">
        <f>IF(Tabla_Disp_V[[#This Row],[Cuadro]]&lt;&gt;"",Tabla_Disp_V[[#This Row],[Cuadro]],"")</f>
        <v>ED02 ZONA 1 ARMARIO PRINCIPAL</v>
      </c>
    </row>
    <row r="13" spans="1:19" x14ac:dyDescent="0.3">
      <c r="C13" s="226" t="s">
        <v>1637</v>
      </c>
      <c r="D13" s="236">
        <v>3</v>
      </c>
      <c r="E13" s="241" t="s">
        <v>2589</v>
      </c>
      <c r="F13" s="229" t="s">
        <v>63</v>
      </c>
      <c r="G13" s="241"/>
      <c r="H13" s="225"/>
      <c r="I13" s="225"/>
      <c r="J13" s="225"/>
      <c r="K13" s="225"/>
      <c r="L13" s="225"/>
      <c r="M13" s="225"/>
      <c r="N13" s="225"/>
      <c r="O13" s="226" t="s">
        <v>94</v>
      </c>
      <c r="P13" s="225"/>
      <c r="Q13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V_VA_125</v>
      </c>
      <c r="R13" s="237" t="str">
        <f>IF(Tabla_Disp_V[[#This Row],[Cuadro]]&lt;&gt;"",Tabla_Disp_V[[#This Row],[Cuadro]],"")</f>
        <v>ED04 ZONA 4 CIP 1</v>
      </c>
    </row>
    <row r="14" spans="1:19" x14ac:dyDescent="0.3">
      <c r="C14" s="226" t="s">
        <v>1638</v>
      </c>
      <c r="D14" s="236">
        <v>4</v>
      </c>
      <c r="E14" s="241" t="s">
        <v>52</v>
      </c>
      <c r="F14" s="229" t="s">
        <v>63</v>
      </c>
      <c r="G14" s="241"/>
      <c r="H14" s="225"/>
      <c r="I14" s="225"/>
      <c r="J14" s="225"/>
      <c r="K14" s="225"/>
      <c r="L14" s="225"/>
      <c r="M14" s="225"/>
      <c r="N14" s="225"/>
      <c r="O14" s="226" t="s">
        <v>84</v>
      </c>
      <c r="P14" s="225"/>
      <c r="Q14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V_VA_126</v>
      </c>
      <c r="R14" s="237" t="str">
        <f>IF(Tabla_Disp_V[[#This Row],[Cuadro]]&lt;&gt;"",Tabla_Disp_V[[#This Row],[Cuadro]],"")</f>
        <v>ED03 ZONA 1 EQUIPOS VARIOS I</v>
      </c>
    </row>
    <row r="15" spans="1:19" x14ac:dyDescent="0.3">
      <c r="C15" s="226" t="s">
        <v>1639</v>
      </c>
      <c r="D15" s="236">
        <v>5</v>
      </c>
      <c r="E15" s="241" t="s">
        <v>2590</v>
      </c>
      <c r="F15" s="229" t="s">
        <v>63</v>
      </c>
      <c r="G15" s="241"/>
      <c r="H15" s="225"/>
      <c r="I15" s="225"/>
      <c r="J15" s="225"/>
      <c r="K15" s="225"/>
      <c r="L15" s="225"/>
      <c r="M15" s="225"/>
      <c r="N15" s="225"/>
      <c r="O15" s="226" t="s">
        <v>64</v>
      </c>
      <c r="P15" s="225"/>
      <c r="Q15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V_VA_127</v>
      </c>
      <c r="R15" s="237" t="str">
        <f>IF(Tabla_Disp_V[[#This Row],[Cuadro]]&lt;&gt;"",Tabla_Disp_V[[#This Row],[Cuadro]],"")</f>
        <v>ED02 ZONA 1 ARMARIO PRINCIPAL</v>
      </c>
    </row>
    <row r="16" spans="1:19" x14ac:dyDescent="0.3">
      <c r="C16" s="226" t="s">
        <v>1640</v>
      </c>
      <c r="D16" s="236">
        <v>6</v>
      </c>
      <c r="E16" s="241" t="s">
        <v>2591</v>
      </c>
      <c r="F16" s="229" t="s">
        <v>63</v>
      </c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V_VA_128</v>
      </c>
      <c r="R16" s="237" t="str">
        <f>IF(Tabla_Disp_V[[#This Row],[Cuadro]]&lt;&gt;"",Tabla_Disp_V[[#This Row],[Cuadro]],"")</f>
        <v/>
      </c>
    </row>
    <row r="17" spans="3:18" x14ac:dyDescent="0.3">
      <c r="C17" s="226" t="s">
        <v>1641</v>
      </c>
      <c r="D17" s="236">
        <v>7</v>
      </c>
      <c r="E17" s="241" t="s">
        <v>2592</v>
      </c>
      <c r="F17" s="229" t="s">
        <v>63</v>
      </c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V_VA_129</v>
      </c>
      <c r="R17" s="237" t="str">
        <f>IF(Tabla_Disp_V[[#This Row],[Cuadro]]&lt;&gt;"",Tabla_Disp_V[[#This Row],[Cuadro]],"")</f>
        <v/>
      </c>
    </row>
    <row r="18" spans="3:18" x14ac:dyDescent="0.3">
      <c r="C18" s="226" t="s">
        <v>1642</v>
      </c>
      <c r="D18" s="236">
        <v>8</v>
      </c>
      <c r="E18" s="241" t="s">
        <v>1878</v>
      </c>
      <c r="F18" s="229" t="s">
        <v>63</v>
      </c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V_VA_951</v>
      </c>
      <c r="R18" s="237" t="str">
        <f>IF(Tabla_Disp_V[[#This Row],[Cuadro]]&lt;&gt;"",Tabla_Disp_V[[#This Row],[Cuadro]],"")</f>
        <v/>
      </c>
    </row>
    <row r="19" spans="3:18" x14ac:dyDescent="0.3">
      <c r="C19" s="226" t="s">
        <v>1643</v>
      </c>
      <c r="D19" s="236">
        <v>9</v>
      </c>
      <c r="E19" s="241" t="s">
        <v>1879</v>
      </c>
      <c r="F19" s="229" t="s">
        <v>63</v>
      </c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V_VA_952</v>
      </c>
      <c r="R19" s="237" t="str">
        <f>IF(Tabla_Disp_V[[#This Row],[Cuadro]]&lt;&gt;"",Tabla_Disp_V[[#This Row],[Cuadro]],"")</f>
        <v/>
      </c>
    </row>
    <row r="20" spans="3:18" x14ac:dyDescent="0.3">
      <c r="C20" s="226" t="s">
        <v>1644</v>
      </c>
      <c r="D20" s="236">
        <v>10</v>
      </c>
      <c r="E20" s="241" t="s">
        <v>1880</v>
      </c>
      <c r="F20" s="229" t="s">
        <v>63</v>
      </c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V_VA_953</v>
      </c>
      <c r="R20" s="237" t="str">
        <f>IF(Tabla_Disp_V[[#This Row],[Cuadro]]&lt;&gt;"",Tabla_Disp_V[[#This Row],[Cuadro]],"")</f>
        <v/>
      </c>
    </row>
    <row r="21" spans="3:18" x14ac:dyDescent="0.3">
      <c r="C21" s="226" t="s">
        <v>1645</v>
      </c>
      <c r="D21" s="236">
        <v>11</v>
      </c>
      <c r="E21" s="241" t="s">
        <v>1881</v>
      </c>
      <c r="F21" s="229" t="s">
        <v>63</v>
      </c>
      <c r="G21" s="241"/>
      <c r="H21" s="225"/>
      <c r="I21" s="225"/>
      <c r="J21" s="225"/>
      <c r="K21" s="225"/>
      <c r="L21" s="225"/>
      <c r="M21" s="225"/>
      <c r="N21" s="225"/>
      <c r="O21" s="226"/>
      <c r="P21" s="225"/>
      <c r="Q2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V_VA_954</v>
      </c>
      <c r="R21" s="237" t="str">
        <f>IF(Tabla_Disp_V[[#This Row],[Cuadro]]&lt;&gt;"",Tabla_Disp_V[[#This Row],[Cuadro]],"")</f>
        <v/>
      </c>
    </row>
    <row r="22" spans="3:18" x14ac:dyDescent="0.3">
      <c r="C22" s="226" t="s">
        <v>1646</v>
      </c>
      <c r="D22" s="236">
        <v>12</v>
      </c>
      <c r="E22" s="241" t="s">
        <v>1882</v>
      </c>
      <c r="F22" s="229" t="s">
        <v>63</v>
      </c>
      <c r="G22" s="241"/>
      <c r="H22" s="225"/>
      <c r="I22" s="225"/>
      <c r="J22" s="225"/>
      <c r="K22" s="225"/>
      <c r="L22" s="225"/>
      <c r="M22" s="225"/>
      <c r="N22" s="225"/>
      <c r="O22" s="226"/>
      <c r="P22" s="225"/>
      <c r="Q2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V_VA_955</v>
      </c>
      <c r="R22" s="237" t="str">
        <f>IF(Tabla_Disp_V[[#This Row],[Cuadro]]&lt;&gt;"",Tabla_Disp_V[[#This Row],[Cuadro]],"")</f>
        <v/>
      </c>
    </row>
    <row r="23" spans="3:18" x14ac:dyDescent="0.3">
      <c r="C23" s="226" t="s">
        <v>1647</v>
      </c>
      <c r="D23" s="236">
        <v>13</v>
      </c>
      <c r="E23" s="241" t="s">
        <v>1883</v>
      </c>
      <c r="F23" s="229" t="s">
        <v>63</v>
      </c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V_VA_956</v>
      </c>
      <c r="R23" s="237" t="str">
        <f>IF(Tabla_Disp_V[[#This Row],[Cuadro]]&lt;&gt;"",Tabla_Disp_V[[#This Row],[Cuadro]],"")</f>
        <v/>
      </c>
    </row>
    <row r="24" spans="3:18" x14ac:dyDescent="0.3">
      <c r="C24" s="226" t="s">
        <v>1648</v>
      </c>
      <c r="D24" s="236">
        <v>14</v>
      </c>
      <c r="E24" s="241" t="s">
        <v>1884</v>
      </c>
      <c r="F24" s="229" t="s">
        <v>63</v>
      </c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V_VA_957</v>
      </c>
      <c r="R24" s="237" t="str">
        <f>IF(Tabla_Disp_V[[#This Row],[Cuadro]]&lt;&gt;"",Tabla_Disp_V[[#This Row],[Cuadro]],"")</f>
        <v/>
      </c>
    </row>
    <row r="25" spans="3:18" x14ac:dyDescent="0.3">
      <c r="C25" s="226" t="s">
        <v>1649</v>
      </c>
      <c r="D25" s="236">
        <v>15</v>
      </c>
      <c r="E25" s="241" t="s">
        <v>1735</v>
      </c>
      <c r="F25" s="229" t="s">
        <v>63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V_VA_958</v>
      </c>
      <c r="R25" s="237" t="str">
        <f>IF(Tabla_Disp_V[[#This Row],[Cuadro]]&lt;&gt;"",Tabla_Disp_V[[#This Row],[Cuadro]],"")</f>
        <v/>
      </c>
    </row>
    <row r="26" spans="3:18" x14ac:dyDescent="0.3">
      <c r="C26" s="226" t="s">
        <v>1684</v>
      </c>
      <c r="D26" s="236">
        <v>16</v>
      </c>
      <c r="E26" s="241" t="s">
        <v>1875</v>
      </c>
      <c r="F26" s="229" t="s">
        <v>63</v>
      </c>
      <c r="G26" s="241"/>
      <c r="H26" s="225"/>
      <c r="I26" s="225"/>
      <c r="J26" s="225"/>
      <c r="K26" s="225"/>
      <c r="L26" s="225"/>
      <c r="M26" s="225"/>
      <c r="N26" s="225"/>
      <c r="O26" s="226"/>
      <c r="P26" s="225"/>
      <c r="Q2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V_VA_959</v>
      </c>
      <c r="R26" s="237" t="str">
        <f>IF(Tabla_Disp_V[[#This Row],[Cuadro]]&lt;&gt;"",Tabla_Disp_V[[#This Row],[Cuadro]],"")</f>
        <v/>
      </c>
    </row>
    <row r="27" spans="3:18" x14ac:dyDescent="0.3">
      <c r="C27" s="226" t="s">
        <v>1685</v>
      </c>
      <c r="D27" s="236">
        <v>17</v>
      </c>
      <c r="E27" s="241" t="s">
        <v>1876</v>
      </c>
      <c r="F27" s="229" t="s">
        <v>63</v>
      </c>
      <c r="G27" s="241"/>
      <c r="H27" s="225"/>
      <c r="I27" s="225"/>
      <c r="J27" s="225"/>
      <c r="K27" s="225"/>
      <c r="L27" s="225"/>
      <c r="M27" s="225"/>
      <c r="N27" s="225"/>
      <c r="O27" s="226"/>
      <c r="P27" s="225"/>
      <c r="Q2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V_VA_960</v>
      </c>
      <c r="R27" s="237" t="str">
        <f>IF(Tabla_Disp_V[[#This Row],[Cuadro]]&lt;&gt;"",Tabla_Disp_V[[#This Row],[Cuadro]],"")</f>
        <v/>
      </c>
    </row>
    <row r="28" spans="3:18" x14ac:dyDescent="0.3">
      <c r="C28" s="226" t="s">
        <v>1686</v>
      </c>
      <c r="D28" s="236">
        <v>18</v>
      </c>
      <c r="E28" s="241" t="s">
        <v>1877</v>
      </c>
      <c r="F28" s="229" t="s">
        <v>63</v>
      </c>
      <c r="G28" s="241"/>
      <c r="H28" s="225"/>
      <c r="I28" s="225"/>
      <c r="J28" s="225"/>
      <c r="K28" s="225"/>
      <c r="L28" s="225"/>
      <c r="M28" s="225"/>
      <c r="N28" s="225"/>
      <c r="O28" s="226"/>
      <c r="P28" s="225"/>
      <c r="Q2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V_VA_961</v>
      </c>
      <c r="R28" s="237" t="str">
        <f>IF(Tabla_Disp_V[[#This Row],[Cuadro]]&lt;&gt;"",Tabla_Disp_V[[#This Row],[Cuadro]],"")</f>
        <v/>
      </c>
    </row>
    <row r="29" spans="3:18" x14ac:dyDescent="0.3">
      <c r="C29" s="226" t="s">
        <v>2543</v>
      </c>
      <c r="D29" s="236">
        <v>19</v>
      </c>
      <c r="E29" s="241"/>
      <c r="F29" s="229"/>
      <c r="G29" s="241"/>
      <c r="H29" s="225"/>
      <c r="I29" s="225"/>
      <c r="J29" s="225"/>
      <c r="K29" s="225"/>
      <c r="L29" s="225"/>
      <c r="M29" s="225"/>
      <c r="N29" s="225"/>
      <c r="O29" s="226"/>
      <c r="P29" s="225"/>
      <c r="Q2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V_019</v>
      </c>
      <c r="R29" s="237" t="str">
        <f>IF(Tabla_Disp_V[[#This Row],[Cuadro]]&lt;&gt;"",Tabla_Disp_V[[#This Row],[Cuadro]],"")</f>
        <v/>
      </c>
    </row>
    <row r="30" spans="3:18" x14ac:dyDescent="0.3">
      <c r="C30" s="226" t="s">
        <v>2544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5"/>
      <c r="N30" s="225"/>
      <c r="O30" s="226"/>
      <c r="P30" s="225"/>
      <c r="Q3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V_020</v>
      </c>
      <c r="R30" s="237" t="str">
        <f>IF(Tabla_Disp_V[[#This Row],[Cuadro]]&lt;&gt;"",Tabla_Disp_V[[#This Row],[Cuadro]],"")</f>
        <v/>
      </c>
    </row>
    <row r="31" spans="3:18" x14ac:dyDescent="0.3">
      <c r="C31" s="226" t="s">
        <v>2545</v>
      </c>
      <c r="D31" s="236">
        <v>21</v>
      </c>
      <c r="E31" s="241"/>
      <c r="F31" s="229"/>
      <c r="G31" s="241"/>
      <c r="H31" s="225"/>
      <c r="I31" s="225"/>
      <c r="J31" s="225"/>
      <c r="K31" s="225"/>
      <c r="L31" s="225"/>
      <c r="M31" s="225"/>
      <c r="N31" s="225"/>
      <c r="O31" s="226"/>
      <c r="P31" s="225"/>
      <c r="Q3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V_021</v>
      </c>
      <c r="R31" s="237" t="str">
        <f>IF(Tabla_Disp_V[[#This Row],[Cuadro]]&lt;&gt;"",Tabla_Disp_V[[#This Row],[Cuadro]],"")</f>
        <v/>
      </c>
    </row>
    <row r="32" spans="3:18" x14ac:dyDescent="0.3">
      <c r="C32" s="226" t="s">
        <v>2546</v>
      </c>
      <c r="D32" s="236">
        <v>22</v>
      </c>
      <c r="E32" s="241"/>
      <c r="F32" s="229"/>
      <c r="G32" s="241"/>
      <c r="H32" s="225"/>
      <c r="I32" s="225"/>
      <c r="J32" s="225"/>
      <c r="K32" s="225"/>
      <c r="L32" s="225"/>
      <c r="M32" s="225"/>
      <c r="N32" s="225"/>
      <c r="O32" s="226"/>
      <c r="P32" s="225"/>
      <c r="Q3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V_022</v>
      </c>
      <c r="R32" s="237" t="str">
        <f>IF(Tabla_Disp_V[[#This Row],[Cuadro]]&lt;&gt;"",Tabla_Disp_V[[#This Row],[Cuadro]],"")</f>
        <v/>
      </c>
    </row>
    <row r="33" spans="3:18" x14ac:dyDescent="0.3">
      <c r="C33" s="226" t="s">
        <v>2547</v>
      </c>
      <c r="D33" s="236">
        <v>23</v>
      </c>
      <c r="E33" s="241" t="s">
        <v>2593</v>
      </c>
      <c r="F33" s="229" t="s">
        <v>2594</v>
      </c>
      <c r="G33" s="241"/>
      <c r="H33" s="225"/>
      <c r="I33" s="225"/>
      <c r="J33" s="225"/>
      <c r="K33" s="225"/>
      <c r="L33" s="225"/>
      <c r="M33" s="225"/>
      <c r="N33" s="225"/>
      <c r="O33" s="226"/>
      <c r="P33" s="225"/>
      <c r="Q3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V_VA_555</v>
      </c>
      <c r="R33" s="237" t="str">
        <f>IF(Tabla_Disp_V[[#This Row],[Cuadro]]&lt;&gt;"",Tabla_Disp_V[[#This Row],[Cuadro]],"")</f>
        <v/>
      </c>
    </row>
    <row r="34" spans="3:18" x14ac:dyDescent="0.3">
      <c r="C34" s="226" t="s">
        <v>2548</v>
      </c>
      <c r="D34" s="236">
        <v>24</v>
      </c>
      <c r="E34" s="241"/>
      <c r="F34" s="229"/>
      <c r="G34" s="241"/>
      <c r="H34" s="225"/>
      <c r="I34" s="225"/>
      <c r="J34" s="225"/>
      <c r="K34" s="225"/>
      <c r="L34" s="225"/>
      <c r="M34" s="225"/>
      <c r="N34" s="225"/>
      <c r="O34" s="226"/>
      <c r="P34" s="225"/>
      <c r="Q3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V_024</v>
      </c>
      <c r="R34" s="237" t="str">
        <f>IF(Tabla_Disp_V[[#This Row],[Cuadro]]&lt;&gt;"",Tabla_Disp_V[[#This Row],[Cuadro]],"")</f>
        <v/>
      </c>
    </row>
    <row r="35" spans="3:18" x14ac:dyDescent="0.3">
      <c r="C35" s="226" t="s">
        <v>2549</v>
      </c>
      <c r="D35" s="236">
        <v>25</v>
      </c>
      <c r="E35" s="241"/>
      <c r="F35" s="229"/>
      <c r="G35" s="241"/>
      <c r="H35" s="225"/>
      <c r="I35" s="225"/>
      <c r="J35" s="225"/>
      <c r="K35" s="225"/>
      <c r="L35" s="225"/>
      <c r="M35" s="225"/>
      <c r="N35" s="225"/>
      <c r="O35" s="226"/>
      <c r="P35" s="225"/>
      <c r="Q3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V_025</v>
      </c>
      <c r="R35" s="237" t="str">
        <f>IF(Tabla_Disp_V[[#This Row],[Cuadro]]&lt;&gt;"",Tabla_Disp_V[[#This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35">
    <cfRule type="cellIs" dxfId="93" priority="4" operator="equal">
      <formula>"X"</formula>
    </cfRule>
  </conditionalFormatting>
  <conditionalFormatting sqref="C11:D35 Q11:R35">
    <cfRule type="cellIs" dxfId="92" priority="3" operator="notEqual">
      <formula>""""""</formula>
    </cfRule>
  </conditionalFormatting>
  <dataValidations xWindow="693" yWindow="442" count="4">
    <dataValidation type="whole" allowBlank="1" showInputMessage="1" showErrorMessage="1" sqref="I9 K9 M9 M11:M35 K11:K35 I11:I35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5 Q11:R35" xr:uid="{BF44F973-DF62-4DBE-A377-05E9777435AD}"/>
    <dataValidation type="list" allowBlank="1" showInputMessage="1" showErrorMessage="1" promptTitle="Pruebas FAT" prompt="Marcar cuando este probado" sqref="G11:G35" xr:uid="{A2478ECD-C6D0-406A-9682-069011501027}">
      <formula1>"X"</formula1>
    </dataValidation>
    <dataValidation type="list" allowBlank="1" showInputMessage="1" showErrorMessage="1" promptTitle="Cuadro" prompt="Selecciona de la lista desplegable" sqref="O11:O35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S20"/>
  <sheetViews>
    <sheetView showGridLines="0" zoomScale="85" zoomScaleNormal="85" workbookViewId="0">
      <pane ySplit="10" topLeftCell="A11" activePane="bottomLeft" state="frozen"/>
      <selection pane="bottomLeft" activeCell="P31" sqref="P3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61"/>
    </row>
    <row r="2" spans="1:19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46"/>
      <c r="S2" s="261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1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1"/>
    </row>
    <row r="5" spans="1:19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46"/>
      <c r="S5" s="261"/>
    </row>
    <row r="6" spans="1:19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6"/>
      <c r="S6" s="261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7" t="s">
        <v>252</v>
      </c>
      <c r="I9" s="267"/>
      <c r="J9" s="267" t="s">
        <v>45</v>
      </c>
      <c r="K9" s="267"/>
      <c r="L9" s="267" t="s">
        <v>253</v>
      </c>
      <c r="M9" s="267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1706</v>
      </c>
      <c r="D11" s="236">
        <v>1</v>
      </c>
      <c r="E11" s="241" t="s">
        <v>1755</v>
      </c>
      <c r="F11" s="229" t="s">
        <v>1745</v>
      </c>
      <c r="G11" s="241"/>
      <c r="H11" s="225"/>
      <c r="I11" s="225"/>
      <c r="J11" s="225"/>
      <c r="K11" s="225"/>
      <c r="L11" s="225"/>
      <c r="M11" s="225"/>
      <c r="N11" s="225"/>
      <c r="O11" s="226" t="s">
        <v>84</v>
      </c>
      <c r="P11" s="225"/>
      <c r="Q11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M_B_01</v>
      </c>
      <c r="R11" s="237" t="str">
        <f>IF(Tabla_Disp_M[[#This Row],[Cuadro]]&lt;&gt;"",Tabla_Disp_M[[#This Row],[Cuadro]],"")</f>
        <v>ED03 ZONA 1 EQUIPOS VARIOS I</v>
      </c>
      <c r="S11" s="47"/>
    </row>
    <row r="12" spans="1:19" x14ac:dyDescent="0.3">
      <c r="C12" s="226" t="s">
        <v>1707</v>
      </c>
      <c r="D12" s="236">
        <v>2</v>
      </c>
      <c r="E12" s="241" t="s">
        <v>822</v>
      </c>
      <c r="F12" s="229" t="s">
        <v>1746</v>
      </c>
      <c r="G12" s="241"/>
      <c r="H12" s="225"/>
      <c r="I12" s="225"/>
      <c r="J12" s="225"/>
      <c r="K12" s="225"/>
      <c r="L12" s="225"/>
      <c r="M12" s="225"/>
      <c r="N12" s="225"/>
      <c r="O12" s="226"/>
      <c r="P12" s="225"/>
      <c r="Q12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M_B_302</v>
      </c>
      <c r="R12" s="237" t="str">
        <f>IF(Tabla_Disp_M[[#This Row],[Cuadro]]&lt;&gt;"",Tabla_Disp_M[[#This Row],[Cuadro]],"")</f>
        <v/>
      </c>
    </row>
    <row r="13" spans="1:19" x14ac:dyDescent="0.3">
      <c r="C13" s="226" t="s">
        <v>1708</v>
      </c>
      <c r="D13" s="236">
        <v>3</v>
      </c>
      <c r="E13" s="241" t="s">
        <v>655</v>
      </c>
      <c r="F13" s="229" t="s">
        <v>1747</v>
      </c>
      <c r="G13" s="241"/>
      <c r="H13" s="225"/>
      <c r="I13" s="225"/>
      <c r="J13" s="225"/>
      <c r="K13" s="225"/>
      <c r="L13" s="225"/>
      <c r="M13" s="225"/>
      <c r="N13" s="225"/>
      <c r="O13" s="226"/>
      <c r="P13" s="225"/>
      <c r="Q13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M_B_303</v>
      </c>
      <c r="R13" s="237" t="str">
        <f>IF(Tabla_Disp_M[[#This Row],[Cuadro]]&lt;&gt;"",Tabla_Disp_M[[#This Row],[Cuadro]],"")</f>
        <v/>
      </c>
    </row>
    <row r="14" spans="1:19" x14ac:dyDescent="0.3">
      <c r="C14" s="226" t="s">
        <v>1709</v>
      </c>
      <c r="D14" s="236">
        <v>4</v>
      </c>
      <c r="E14" s="241" t="s">
        <v>656</v>
      </c>
      <c r="F14" s="229" t="s">
        <v>1748</v>
      </c>
      <c r="G14" s="241"/>
      <c r="H14" s="225"/>
      <c r="I14" s="225"/>
      <c r="J14" s="225"/>
      <c r="K14" s="225"/>
      <c r="L14" s="225"/>
      <c r="M14" s="225"/>
      <c r="N14" s="225"/>
      <c r="O14" s="226"/>
      <c r="P14" s="225"/>
      <c r="Q14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M_B_304</v>
      </c>
      <c r="R14" s="237" t="str">
        <f>IF(Tabla_Disp_M[[#This Row],[Cuadro]]&lt;&gt;"",Tabla_Disp_M[[#This Row],[Cuadro]],"")</f>
        <v/>
      </c>
    </row>
    <row r="15" spans="1:19" x14ac:dyDescent="0.3">
      <c r="C15" s="226" t="s">
        <v>1710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6"/>
      <c r="P15" s="225"/>
      <c r="Q15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M_005</v>
      </c>
      <c r="R15" s="237" t="str">
        <f>IF(Tabla_Disp_M[[#This Row],[Cuadro]]&lt;&gt;"",Tabla_Disp_M[[#This Row],[Cuadro]],"")</f>
        <v/>
      </c>
    </row>
    <row r="16" spans="1:19" x14ac:dyDescent="0.3">
      <c r="C16" s="226" t="s">
        <v>1711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M_006</v>
      </c>
      <c r="R16" s="237" t="str">
        <f>IF(Tabla_Disp_M[[#This Row],[Cuadro]]&lt;&gt;"",Tabla_Disp_M[[#This Row],[Cuadro]],"")</f>
        <v/>
      </c>
    </row>
    <row r="17" spans="3:18" x14ac:dyDescent="0.3">
      <c r="C17" s="226" t="s">
        <v>1712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M_007</v>
      </c>
      <c r="R17" s="237" t="str">
        <f>IF(Tabla_Disp_M[[#This Row],[Cuadro]]&lt;&gt;"",Tabla_Disp_M[[#This Row],[Cuadro]],"")</f>
        <v/>
      </c>
    </row>
    <row r="18" spans="3:18" x14ac:dyDescent="0.3">
      <c r="C18" s="226" t="s">
        <v>1713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M_008</v>
      </c>
      <c r="R18" s="237" t="str">
        <f>IF(Tabla_Disp_M[[#This Row],[Cuadro]]&lt;&gt;"",Tabla_Disp_M[[#This Row],[Cuadro]],"")</f>
        <v/>
      </c>
    </row>
    <row r="19" spans="3:18" x14ac:dyDescent="0.3">
      <c r="C19" s="226" t="s">
        <v>1714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M_009</v>
      </c>
      <c r="R19" s="237" t="str">
        <f>IF(Tabla_Disp_M[[#This Row],[Cuadro]]&lt;&gt;"",Tabla_Disp_M[[#This Row],[Cuadro]],"")</f>
        <v/>
      </c>
    </row>
    <row r="20" spans="3:18" x14ac:dyDescent="0.3">
      <c r="C20" s="226" t="s">
        <v>1715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M_010</v>
      </c>
      <c r="R20" s="237" t="str">
        <f>IF(Tabla_Disp_M[[#This Row],[Cuadro]]&lt;&gt;"",Tabla_Disp_M[[#This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20">
    <cfRule type="cellIs" dxfId="73" priority="2" operator="equal">
      <formula>"X"</formula>
    </cfRule>
  </conditionalFormatting>
  <conditionalFormatting sqref="C11:D20 Q11:R20">
    <cfRule type="cellIs" dxfId="72" priority="1" operator="notEqual">
      <formula>""""""</formula>
    </cfRule>
  </conditionalFormatting>
  <dataValidations count="4">
    <dataValidation type="whole" allowBlank="1" showInputMessage="1" showErrorMessage="1" sqref="I9 K9 M9 I11:I20 K11:K20 M11:M20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0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0" xr:uid="{D1A4D5A6-1D9E-492A-91C7-1982F88B1992}">
      <formula1>"X"</formula1>
    </dataValidation>
    <dataValidation allowBlank="1" showInputMessage="1" showErrorMessage="1" promptTitle="Generacion automatica" prompt="No modificar." sqref="C11:D20 Q11:R20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T15"/>
  <sheetViews>
    <sheetView showGridLines="0" zoomScale="85" zoomScaleNormal="85" workbookViewId="0">
      <pane ySplit="10" topLeftCell="A11" activePane="bottomLeft" state="frozen"/>
      <selection pane="bottomLeft" activeCell="E11" sqref="E1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3" style="47" bestFit="1" customWidth="1"/>
    <col min="19" max="19" width="60.140625" style="47" customWidth="1"/>
    <col min="20" max="20" width="4.85546875" style="47" customWidth="1"/>
    <col min="21" max="16384" width="11.42578125" style="47"/>
  </cols>
  <sheetData>
    <row r="1" spans="1:20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261"/>
    </row>
    <row r="2" spans="1:20" ht="16.5" customHeight="1" x14ac:dyDescent="0.35">
      <c r="A2" s="48"/>
      <c r="B2" s="262">
        <f>PORTADA!D46</f>
        <v>26000</v>
      </c>
      <c r="C2" s="262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46"/>
      <c r="T2" s="261"/>
    </row>
    <row r="3" spans="1:20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6"/>
      <c r="T3" s="261"/>
    </row>
    <row r="4" spans="1:20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6"/>
      <c r="T4" s="261"/>
    </row>
    <row r="5" spans="1:20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46"/>
      <c r="T5" s="261"/>
    </row>
    <row r="6" spans="1:20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46"/>
      <c r="T6" s="261"/>
    </row>
    <row r="7" spans="1:20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46"/>
      <c r="T7" s="203" t="str">
        <f>PORTADA!E50</f>
        <v>V0.01</v>
      </c>
    </row>
    <row r="9" spans="1:20" x14ac:dyDescent="0.3">
      <c r="H9" s="267" t="s">
        <v>252</v>
      </c>
      <c r="I9" s="267"/>
      <c r="J9" s="267" t="s">
        <v>45</v>
      </c>
      <c r="K9" s="267"/>
      <c r="L9" s="267" t="s">
        <v>253</v>
      </c>
      <c r="M9" s="267"/>
      <c r="N9" s="235" t="s">
        <v>1691</v>
      </c>
    </row>
    <row r="10" spans="1:20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1723</v>
      </c>
      <c r="O10" s="211" t="s">
        <v>1687</v>
      </c>
      <c r="P10" s="211" t="s">
        <v>1451</v>
      </c>
      <c r="Q10" s="240" t="s">
        <v>310</v>
      </c>
      <c r="R10" s="233" t="s">
        <v>1676</v>
      </c>
      <c r="S10" s="234" t="s">
        <v>1677</v>
      </c>
    </row>
    <row r="11" spans="1:20" s="67" customFormat="1" x14ac:dyDescent="0.3">
      <c r="C11" s="226" t="s">
        <v>1724</v>
      </c>
      <c r="D11" s="236">
        <v>1</v>
      </c>
      <c r="E11" s="241" t="s">
        <v>1755</v>
      </c>
      <c r="F11" s="229" t="s">
        <v>1752</v>
      </c>
      <c r="G11" s="241"/>
      <c r="H11" s="225"/>
      <c r="I11" s="225"/>
      <c r="J11" s="225"/>
      <c r="K11" s="225"/>
      <c r="L11" s="225"/>
      <c r="M11" s="225"/>
      <c r="N11" s="225"/>
      <c r="O11" s="225"/>
      <c r="P11" s="226"/>
      <c r="Q11" s="225"/>
      <c r="R11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M_VF_B_01</v>
      </c>
      <c r="S11" s="237" t="str">
        <f>IF(Tabla_Disp_M_VF[[#This Row],[Cuadro]]&lt;&gt;"",Tabla_Disp_M_VF[[#This Row],[Cuadro]],"")</f>
        <v/>
      </c>
      <c r="T11" s="47"/>
    </row>
    <row r="12" spans="1:20" x14ac:dyDescent="0.3">
      <c r="C12" s="226" t="s">
        <v>1725</v>
      </c>
      <c r="D12" s="236">
        <v>2</v>
      </c>
      <c r="E12" s="241" t="s">
        <v>1751</v>
      </c>
      <c r="F12" s="229" t="s">
        <v>1752</v>
      </c>
      <c r="G12" s="241"/>
      <c r="H12" s="225"/>
      <c r="I12" s="225"/>
      <c r="J12" s="225"/>
      <c r="K12" s="225"/>
      <c r="L12" s="225"/>
      <c r="M12" s="225"/>
      <c r="N12" s="225"/>
      <c r="O12" s="225"/>
      <c r="P12" s="226" t="s">
        <v>64</v>
      </c>
      <c r="Q12" s="225"/>
      <c r="R12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M_VF_B_806</v>
      </c>
      <c r="S12" s="237" t="str">
        <f>IF(Tabla_Disp_M_VF[[#This Row],[Cuadro]]&lt;&gt;"",Tabla_Disp_M_VF[[#This Row],[Cuadro]],"")</f>
        <v>ED02 ZONA 1 ARMARIO PRINCIPAL</v>
      </c>
    </row>
    <row r="13" spans="1:20" x14ac:dyDescent="0.3">
      <c r="C13" s="226" t="s">
        <v>1726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5"/>
      <c r="N13" s="225"/>
      <c r="O13" s="225"/>
      <c r="P13" s="226"/>
      <c r="Q13" s="225"/>
      <c r="R13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M_VF_003</v>
      </c>
      <c r="S13" s="237" t="str">
        <f>IF(Tabla_Disp_M_VF[[#This Row],[Cuadro]]&lt;&gt;"",Tabla_Disp_M_VF[[#This Row],[Cuadro]],"")</f>
        <v/>
      </c>
    </row>
    <row r="14" spans="1:20" x14ac:dyDescent="0.3">
      <c r="C14" s="226" t="s">
        <v>1727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5"/>
      <c r="N14" s="225"/>
      <c r="O14" s="225"/>
      <c r="P14" s="226"/>
      <c r="Q14" s="225"/>
      <c r="R14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M_VF_004</v>
      </c>
      <c r="S14" s="237" t="str">
        <f>IF(Tabla_Disp_M_VF[[#This Row],[Cuadro]]&lt;&gt;"",Tabla_Disp_M_VF[[#This Row],[Cuadro]],"")</f>
        <v/>
      </c>
    </row>
    <row r="15" spans="1:20" x14ac:dyDescent="0.3">
      <c r="C15" s="226" t="s">
        <v>1728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5"/>
      <c r="P15" s="226"/>
      <c r="Q15" s="225"/>
      <c r="R15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M_VF_005</v>
      </c>
      <c r="S15" s="237" t="str">
        <f>IF(Tabla_Disp_M_VF[[#This Row],[Cuadro]]&lt;&gt;"",Tabla_Disp_M_VF[[#This Row],[Cuadro]],"")</f>
        <v/>
      </c>
    </row>
  </sheetData>
  <mergeCells count="5">
    <mergeCell ref="T1:T6"/>
    <mergeCell ref="B2:C2"/>
    <mergeCell ref="H9:I9"/>
    <mergeCell ref="J9:K9"/>
    <mergeCell ref="L9:M9"/>
  </mergeCells>
  <phoneticPr fontId="23" type="noConversion"/>
  <conditionalFormatting sqref="G11:G15">
    <cfRule type="cellIs" dxfId="53" priority="2" operator="equal">
      <formula>"X"</formula>
    </cfRule>
  </conditionalFormatting>
  <conditionalFormatting sqref="C11:D15 R11:S15">
    <cfRule type="cellIs" dxfId="52" priority="1" operator="notEqual">
      <formula>""""""</formula>
    </cfRule>
  </conditionalFormatting>
  <dataValidations count="4">
    <dataValidation type="whole" allowBlank="1" showInputMessage="1" showErrorMessage="1" sqref="I9 K9 M9 K11:K15 I11:I15 M11:N15" xr:uid="{EC715D9F-7560-40EC-851B-45FABA0B8B38}">
      <formula1>0</formula1>
      <formula2>7</formula2>
    </dataValidation>
    <dataValidation allowBlank="1" showInputMessage="1" showErrorMessage="1" promptTitle="Generacion automatica" prompt="No modificar." sqref="C11:D15 R11:S15" xr:uid="{BC4C9CF0-7A76-4291-9CCD-E1F83281CCCA}"/>
    <dataValidation type="list" allowBlank="1" showInputMessage="1" showErrorMessage="1" promptTitle="Pruebas FAT" prompt="Marcar cuando este probado" sqref="G11:G15" xr:uid="{9CE86625-B708-4033-8CB5-5E3741ED5767}">
      <formula1>"X"</formula1>
    </dataValidation>
    <dataValidation type="list" allowBlank="1" showInputMessage="1" showErrorMessage="1" promptTitle="Cuadro" prompt="Selecciona de la lista desplegable" sqref="P11:P15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K22" sqref="K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61"/>
    </row>
    <row r="2" spans="1:14" ht="16.5" customHeight="1" x14ac:dyDescent="0.35">
      <c r="A2" s="48"/>
      <c r="B2" s="262">
        <f>PORTADA!D46</f>
        <v>26000</v>
      </c>
      <c r="C2" s="26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61"/>
    </row>
    <row r="3" spans="1:14" ht="16.5" customHeight="1" x14ac:dyDescent="0.35">
      <c r="A3" s="48"/>
      <c r="B3" s="51" t="str">
        <f>PORTADA!D47</f>
        <v>PLANTILLA</v>
      </c>
      <c r="C3" s="48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61"/>
    </row>
    <row r="4" spans="1:14" ht="16.5" customHeight="1" x14ac:dyDescent="0.35">
      <c r="A4" s="48"/>
      <c r="B4" s="51" t="str">
        <f>PORTADA!D48</f>
        <v>ZEUS CONTROL</v>
      </c>
      <c r="C4" s="48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61"/>
    </row>
    <row r="5" spans="1:14" ht="12.75" customHeight="1" x14ac:dyDescent="0.35">
      <c r="A5" s="46"/>
      <c r="B5" s="46"/>
      <c r="C5" s="5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61"/>
    </row>
    <row r="6" spans="1:14" ht="18" customHeight="1" x14ac:dyDescent="0.35">
      <c r="A6" s="46"/>
      <c r="B6" s="53" t="s">
        <v>1833</v>
      </c>
      <c r="C6" s="51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61"/>
    </row>
    <row r="7" spans="1:14" ht="12.75" customHeight="1" x14ac:dyDescent="0.35">
      <c r="A7" s="46"/>
      <c r="B7" s="46"/>
      <c r="C7" s="5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3" t="str">
        <f>PORTADA!E50</f>
        <v>V0.01</v>
      </c>
    </row>
    <row r="9" spans="1:14" s="242" customFormat="1" x14ac:dyDescent="0.25">
      <c r="C9" s="230" t="s">
        <v>1834</v>
      </c>
      <c r="E9" s="242" t="s">
        <v>1856</v>
      </c>
      <c r="G9" s="230" t="s">
        <v>1871</v>
      </c>
      <c r="I9" s="230" t="s">
        <v>1872</v>
      </c>
      <c r="K9" s="242" t="s">
        <v>1873</v>
      </c>
      <c r="M9" s="242" t="s">
        <v>1874</v>
      </c>
    </row>
    <row r="10" spans="1:14" ht="7.5" customHeight="1" x14ac:dyDescent="0.3"/>
    <row r="11" spans="1:14" x14ac:dyDescent="0.3">
      <c r="C11" s="204" t="s">
        <v>1830</v>
      </c>
      <c r="E11" s="245" t="s">
        <v>1081</v>
      </c>
      <c r="G11" s="204" t="s">
        <v>1099</v>
      </c>
      <c r="I11" s="204" t="s">
        <v>1101</v>
      </c>
      <c r="K11" s="204" t="s">
        <v>1110</v>
      </c>
      <c r="M11" s="204" t="s">
        <v>1451</v>
      </c>
      <c r="N11" s="67"/>
    </row>
    <row r="12" spans="1:14" x14ac:dyDescent="0.3">
      <c r="C12" s="47" t="s">
        <v>305</v>
      </c>
      <c r="E12" s="47" t="s">
        <v>1845</v>
      </c>
      <c r="G12" s="47" t="s">
        <v>1109</v>
      </c>
      <c r="I12" s="47" t="s">
        <v>236</v>
      </c>
      <c r="K12" s="47" t="s">
        <v>1111</v>
      </c>
      <c r="M12" s="47" t="s">
        <v>64</v>
      </c>
    </row>
    <row r="13" spans="1:14" x14ac:dyDescent="0.3">
      <c r="C13" s="47" t="s">
        <v>1835</v>
      </c>
      <c r="E13" s="47" t="s">
        <v>1846</v>
      </c>
      <c r="G13" s="47" t="s">
        <v>1097</v>
      </c>
      <c r="I13" s="47" t="s">
        <v>237</v>
      </c>
      <c r="K13" s="47" t="s">
        <v>1112</v>
      </c>
      <c r="M13" s="47" t="s">
        <v>84</v>
      </c>
    </row>
    <row r="14" spans="1:14" x14ac:dyDescent="0.3">
      <c r="C14" s="47" t="s">
        <v>1836</v>
      </c>
      <c r="E14" s="47" t="s">
        <v>1853</v>
      </c>
      <c r="G14" s="47" t="s">
        <v>1100</v>
      </c>
      <c r="K14" s="47" t="s">
        <v>1113</v>
      </c>
      <c r="M14" s="47" t="s">
        <v>94</v>
      </c>
    </row>
    <row r="15" spans="1:14" x14ac:dyDescent="0.3">
      <c r="C15" s="47" t="s">
        <v>1837</v>
      </c>
      <c r="E15" s="47" t="s">
        <v>1854</v>
      </c>
      <c r="G15" s="47" t="s">
        <v>659</v>
      </c>
      <c r="K15" s="47" t="s">
        <v>1114</v>
      </c>
    </row>
    <row r="16" spans="1:14" x14ac:dyDescent="0.3">
      <c r="C16" s="47" t="s">
        <v>1838</v>
      </c>
      <c r="E16" s="47" t="s">
        <v>1855</v>
      </c>
      <c r="G16" s="47" t="s">
        <v>254</v>
      </c>
      <c r="K16" s="47" t="s">
        <v>1115</v>
      </c>
    </row>
    <row r="17" spans="3:11" x14ac:dyDescent="0.3">
      <c r="C17" s="47" t="s">
        <v>1839</v>
      </c>
      <c r="E17" s="47" t="s">
        <v>1847</v>
      </c>
      <c r="G17" s="47" t="s">
        <v>235</v>
      </c>
      <c r="K17" s="47" t="s">
        <v>1116</v>
      </c>
    </row>
    <row r="18" spans="3:11" x14ac:dyDescent="0.3">
      <c r="C18" s="47" t="s">
        <v>1840</v>
      </c>
      <c r="E18" s="47" t="s">
        <v>1848</v>
      </c>
      <c r="G18" s="47" t="s">
        <v>1108</v>
      </c>
      <c r="K18" s="47" t="s">
        <v>1117</v>
      </c>
    </row>
    <row r="19" spans="3:11" x14ac:dyDescent="0.3">
      <c r="C19" s="47" t="s">
        <v>1841</v>
      </c>
      <c r="E19" s="47" t="s">
        <v>1849</v>
      </c>
      <c r="K19" s="47" t="s">
        <v>1118</v>
      </c>
    </row>
    <row r="20" spans="3:11" x14ac:dyDescent="0.3">
      <c r="C20" s="47" t="s">
        <v>1842</v>
      </c>
      <c r="E20" s="47" t="s">
        <v>1850</v>
      </c>
    </row>
    <row r="21" spans="3:11" x14ac:dyDescent="0.3">
      <c r="C21" s="47" t="s">
        <v>1843</v>
      </c>
      <c r="E21" s="47" t="s">
        <v>1851</v>
      </c>
    </row>
    <row r="22" spans="3:11" x14ac:dyDescent="0.3">
      <c r="E22" s="47" t="s">
        <v>1852</v>
      </c>
    </row>
    <row r="27" spans="3:11" x14ac:dyDescent="0.3">
      <c r="E27" s="229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843"/>
  <sheetViews>
    <sheetView showGridLines="0" zoomScaleNormal="100" workbookViewId="0">
      <pane ySplit="1" topLeftCell="A2" activePane="bottomLeft" state="frozen"/>
      <selection pane="bottomLeft" activeCell="A2" sqref="A2:F843"/>
    </sheetView>
  </sheetViews>
  <sheetFormatPr baseColWidth="10" defaultRowHeight="15" x14ac:dyDescent="0.25"/>
  <cols>
    <col min="1" max="1" width="29" style="214" customWidth="1"/>
    <col min="2" max="3" width="18.7109375" style="214" customWidth="1"/>
    <col min="4" max="4" width="18.5703125" style="214" customWidth="1"/>
    <col min="5" max="5" width="28" style="214" customWidth="1"/>
    <col min="6" max="6" width="80.140625" style="238" customWidth="1"/>
    <col min="7" max="11" width="18.5703125" style="214" customWidth="1"/>
    <col min="12" max="12" width="3.5703125" style="214" customWidth="1"/>
    <col min="13" max="13" width="15.28515625" style="214" customWidth="1"/>
    <col min="14" max="16384" width="11.42578125" style="214"/>
  </cols>
  <sheetData>
    <row r="1" spans="1:6" x14ac:dyDescent="0.25">
      <c r="A1" s="214" t="s">
        <v>1095</v>
      </c>
      <c r="B1" s="214" t="s">
        <v>1096</v>
      </c>
      <c r="C1" s="214" t="s">
        <v>1080</v>
      </c>
      <c r="D1" s="214" t="s">
        <v>313</v>
      </c>
      <c r="E1" s="214" t="s">
        <v>1094</v>
      </c>
      <c r="F1" s="214" t="s">
        <v>419</v>
      </c>
    </row>
    <row r="2" spans="1:6" x14ac:dyDescent="0.25">
      <c r="A2" s="239">
        <v>46092.669664351852</v>
      </c>
      <c r="B2" s="214" t="s">
        <v>2550</v>
      </c>
      <c r="C2" s="214" t="s">
        <v>1720</v>
      </c>
      <c r="D2" s="214">
        <v>15</v>
      </c>
      <c r="E2" s="214" t="s">
        <v>2045</v>
      </c>
      <c r="F2" s="238" t="s">
        <v>2046</v>
      </c>
    </row>
    <row r="3" spans="1:6" x14ac:dyDescent="0.25">
      <c r="A3" s="239">
        <v>46092.669664351852</v>
      </c>
      <c r="B3" s="214" t="s">
        <v>2550</v>
      </c>
      <c r="C3" s="214" t="s">
        <v>1719</v>
      </c>
      <c r="D3" s="214">
        <v>14</v>
      </c>
    </row>
    <row r="4" spans="1:6" x14ac:dyDescent="0.25">
      <c r="A4" s="239">
        <v>46092.669664351852</v>
      </c>
      <c r="B4" s="214" t="s">
        <v>2550</v>
      </c>
      <c r="C4" s="214" t="s">
        <v>1718</v>
      </c>
      <c r="D4" s="214">
        <v>13</v>
      </c>
    </row>
    <row r="5" spans="1:6" x14ac:dyDescent="0.25">
      <c r="A5" s="239">
        <v>46092.669664351852</v>
      </c>
      <c r="B5" s="214" t="s">
        <v>2550</v>
      </c>
      <c r="C5" s="214" t="s">
        <v>1717</v>
      </c>
      <c r="D5" s="214">
        <v>12</v>
      </c>
      <c r="E5" s="214" t="s">
        <v>1744</v>
      </c>
      <c r="F5" s="238" t="s">
        <v>1750</v>
      </c>
    </row>
    <row r="6" spans="1:6" x14ac:dyDescent="0.25">
      <c r="A6" s="239">
        <v>46092.669664351852</v>
      </c>
      <c r="B6" s="214" t="s">
        <v>2550</v>
      </c>
      <c r="C6" s="214" t="s">
        <v>1716</v>
      </c>
      <c r="D6" s="214">
        <v>11</v>
      </c>
      <c r="E6" s="214" t="s">
        <v>1743</v>
      </c>
      <c r="F6" s="238" t="s">
        <v>1749</v>
      </c>
    </row>
    <row r="7" spans="1:6" x14ac:dyDescent="0.25">
      <c r="A7" s="239">
        <v>46092.669664351852</v>
      </c>
      <c r="B7" s="214" t="s">
        <v>2551</v>
      </c>
      <c r="C7" s="214" t="s">
        <v>1733</v>
      </c>
      <c r="D7" s="214">
        <v>10</v>
      </c>
      <c r="E7" s="214" t="s">
        <v>2047</v>
      </c>
      <c r="F7" s="238" t="s">
        <v>2048</v>
      </c>
    </row>
    <row r="8" spans="1:6" x14ac:dyDescent="0.25">
      <c r="A8" s="239">
        <v>46092.669664351852</v>
      </c>
      <c r="B8" s="214" t="s">
        <v>2551</v>
      </c>
      <c r="C8" s="214" t="s">
        <v>1732</v>
      </c>
      <c r="D8" s="214">
        <v>9</v>
      </c>
    </row>
    <row r="9" spans="1:6" x14ac:dyDescent="0.25">
      <c r="A9" s="239">
        <v>46092.669664351852</v>
      </c>
      <c r="B9" s="214" t="s">
        <v>2551</v>
      </c>
      <c r="C9" s="214" t="s">
        <v>1731</v>
      </c>
      <c r="D9" s="214">
        <v>8</v>
      </c>
    </row>
    <row r="10" spans="1:6" x14ac:dyDescent="0.25">
      <c r="A10" s="239">
        <v>46092.669664351852</v>
      </c>
      <c r="B10" s="214" t="s">
        <v>2551</v>
      </c>
      <c r="C10" s="214" t="s">
        <v>1730</v>
      </c>
      <c r="D10" s="214">
        <v>7</v>
      </c>
    </row>
    <row r="11" spans="1:6" x14ac:dyDescent="0.25">
      <c r="A11" s="239">
        <v>46092.669664351852</v>
      </c>
      <c r="B11" s="214" t="s">
        <v>2551</v>
      </c>
      <c r="C11" s="214" t="s">
        <v>1729</v>
      </c>
      <c r="D11" s="214">
        <v>6</v>
      </c>
    </row>
    <row r="12" spans="1:6" x14ac:dyDescent="0.25">
      <c r="A12" s="239">
        <v>46092.669548611113</v>
      </c>
      <c r="B12" s="214" t="s">
        <v>2506</v>
      </c>
      <c r="C12" s="214" t="s">
        <v>2509</v>
      </c>
      <c r="D12" s="214">
        <v>50</v>
      </c>
      <c r="E12" s="214" t="s">
        <v>233</v>
      </c>
    </row>
    <row r="13" spans="1:6" x14ac:dyDescent="0.25">
      <c r="A13" s="239">
        <v>46092.669548611113</v>
      </c>
      <c r="B13" s="214" t="s">
        <v>2506</v>
      </c>
      <c r="C13" s="214" t="s">
        <v>2508</v>
      </c>
      <c r="D13" s="214">
        <v>49</v>
      </c>
      <c r="E13" s="214" t="s">
        <v>233</v>
      </c>
    </row>
    <row r="14" spans="1:6" x14ac:dyDescent="0.25">
      <c r="A14" s="239">
        <v>46092.669548611113</v>
      </c>
      <c r="B14" s="214" t="s">
        <v>2506</v>
      </c>
      <c r="C14" s="214" t="s">
        <v>1480</v>
      </c>
      <c r="D14" s="214">
        <v>48</v>
      </c>
      <c r="E14" s="214" t="s">
        <v>233</v>
      </c>
    </row>
    <row r="15" spans="1:6" x14ac:dyDescent="0.25">
      <c r="A15" s="239">
        <v>46092.669548611113</v>
      </c>
      <c r="B15" s="214" t="s">
        <v>2506</v>
      </c>
      <c r="C15" s="214" t="s">
        <v>1479</v>
      </c>
      <c r="D15" s="214">
        <v>47</v>
      </c>
      <c r="E15" s="214" t="s">
        <v>233</v>
      </c>
    </row>
    <row r="16" spans="1:6" x14ac:dyDescent="0.25">
      <c r="A16" s="239">
        <v>46092.669548611113</v>
      </c>
      <c r="B16" s="214" t="s">
        <v>2506</v>
      </c>
      <c r="C16" s="214" t="s">
        <v>1478</v>
      </c>
      <c r="D16" s="214">
        <v>46</v>
      </c>
      <c r="E16" s="214" t="s">
        <v>233</v>
      </c>
    </row>
    <row r="17" spans="1:5" x14ac:dyDescent="0.25">
      <c r="A17" s="239">
        <v>46092.669548611113</v>
      </c>
      <c r="B17" s="214" t="s">
        <v>2506</v>
      </c>
      <c r="C17" s="214" t="s">
        <v>1477</v>
      </c>
      <c r="D17" s="214">
        <v>45</v>
      </c>
      <c r="E17" s="214" t="s">
        <v>233</v>
      </c>
    </row>
    <row r="18" spans="1:5" x14ac:dyDescent="0.25">
      <c r="A18" s="239">
        <v>46092.669548611113</v>
      </c>
      <c r="B18" s="214" t="s">
        <v>2506</v>
      </c>
      <c r="C18" s="214" t="s">
        <v>1476</v>
      </c>
      <c r="D18" s="214">
        <v>44</v>
      </c>
      <c r="E18" s="214" t="s">
        <v>233</v>
      </c>
    </row>
    <row r="19" spans="1:5" x14ac:dyDescent="0.25">
      <c r="A19" s="239">
        <v>46092.669548611113</v>
      </c>
      <c r="B19" s="214" t="s">
        <v>2506</v>
      </c>
      <c r="C19" s="214" t="s">
        <v>1475</v>
      </c>
      <c r="D19" s="214">
        <v>43</v>
      </c>
      <c r="E19" s="214" t="s">
        <v>233</v>
      </c>
    </row>
    <row r="20" spans="1:5" x14ac:dyDescent="0.25">
      <c r="A20" s="239">
        <v>46092.669548611113</v>
      </c>
      <c r="B20" s="214" t="s">
        <v>2506</v>
      </c>
      <c r="C20" s="214" t="s">
        <v>1474</v>
      </c>
      <c r="D20" s="214">
        <v>42</v>
      </c>
      <c r="E20" s="214" t="s">
        <v>233</v>
      </c>
    </row>
    <row r="21" spans="1:5" x14ac:dyDescent="0.25">
      <c r="A21" s="239">
        <v>46092.669548611113</v>
      </c>
      <c r="B21" s="214" t="s">
        <v>2506</v>
      </c>
      <c r="C21" s="214" t="s">
        <v>1473</v>
      </c>
      <c r="D21" s="214">
        <v>41</v>
      </c>
      <c r="E21" s="214" t="s">
        <v>233</v>
      </c>
    </row>
    <row r="22" spans="1:5" x14ac:dyDescent="0.25">
      <c r="A22" s="239">
        <v>46092.388356481482</v>
      </c>
      <c r="B22" s="214" t="s">
        <v>2506</v>
      </c>
      <c r="C22" s="214" t="s">
        <v>1480</v>
      </c>
      <c r="D22" s="214">
        <v>48</v>
      </c>
      <c r="E22" s="214" t="s">
        <v>233</v>
      </c>
    </row>
    <row r="23" spans="1:5" x14ac:dyDescent="0.25">
      <c r="A23" s="239">
        <v>46092.388356481482</v>
      </c>
      <c r="B23" s="214" t="s">
        <v>2506</v>
      </c>
      <c r="C23" s="214" t="s">
        <v>1479</v>
      </c>
      <c r="D23" s="214">
        <v>47</v>
      </c>
      <c r="E23" s="214" t="s">
        <v>233</v>
      </c>
    </row>
    <row r="24" spans="1:5" x14ac:dyDescent="0.25">
      <c r="A24" s="239">
        <v>46092.388356481482</v>
      </c>
      <c r="B24" s="214" t="s">
        <v>2506</v>
      </c>
      <c r="C24" s="214" t="s">
        <v>1478</v>
      </c>
      <c r="D24" s="214">
        <v>46</v>
      </c>
      <c r="E24" s="214" t="s">
        <v>233</v>
      </c>
    </row>
    <row r="25" spans="1:5" x14ac:dyDescent="0.25">
      <c r="A25" s="239">
        <v>46092.388356481482</v>
      </c>
      <c r="B25" s="214" t="s">
        <v>2506</v>
      </c>
      <c r="C25" s="214" t="s">
        <v>1477</v>
      </c>
      <c r="D25" s="214">
        <v>45</v>
      </c>
      <c r="E25" s="214" t="s">
        <v>233</v>
      </c>
    </row>
    <row r="26" spans="1:5" x14ac:dyDescent="0.25">
      <c r="A26" s="239">
        <v>46092.388356481482</v>
      </c>
      <c r="B26" s="214" t="s">
        <v>2506</v>
      </c>
      <c r="C26" s="214" t="s">
        <v>1476</v>
      </c>
      <c r="D26" s="214">
        <v>44</v>
      </c>
      <c r="E26" s="214" t="s">
        <v>233</v>
      </c>
    </row>
    <row r="27" spans="1:5" x14ac:dyDescent="0.25">
      <c r="A27" s="239">
        <v>46092.388356481482</v>
      </c>
      <c r="B27" s="214" t="s">
        <v>2506</v>
      </c>
      <c r="C27" s="214" t="s">
        <v>1475</v>
      </c>
      <c r="D27" s="214">
        <v>43</v>
      </c>
      <c r="E27" s="214" t="s">
        <v>233</v>
      </c>
    </row>
    <row r="28" spans="1:5" x14ac:dyDescent="0.25">
      <c r="A28" s="239">
        <v>46092.388356481482</v>
      </c>
      <c r="B28" s="214" t="s">
        <v>2506</v>
      </c>
      <c r="C28" s="214" t="s">
        <v>1474</v>
      </c>
      <c r="D28" s="214">
        <v>42</v>
      </c>
      <c r="E28" s="214" t="s">
        <v>233</v>
      </c>
    </row>
    <row r="29" spans="1:5" x14ac:dyDescent="0.25">
      <c r="A29" s="239">
        <v>46092.388356481482</v>
      </c>
      <c r="B29" s="214" t="s">
        <v>2506</v>
      </c>
      <c r="C29" s="214" t="s">
        <v>1473</v>
      </c>
      <c r="D29" s="214">
        <v>41</v>
      </c>
      <c r="E29" s="214" t="s">
        <v>233</v>
      </c>
    </row>
    <row r="30" spans="1:5" x14ac:dyDescent="0.25">
      <c r="A30" s="239">
        <v>46092.388356481482</v>
      </c>
      <c r="B30" s="214" t="s">
        <v>2507</v>
      </c>
      <c r="C30" s="214" t="s">
        <v>2040</v>
      </c>
      <c r="D30" s="214">
        <v>38</v>
      </c>
      <c r="E30" s="214" t="s">
        <v>233</v>
      </c>
    </row>
    <row r="31" spans="1:5" x14ac:dyDescent="0.25">
      <c r="A31" s="239">
        <v>46092.388356481482</v>
      </c>
      <c r="B31" s="214" t="s">
        <v>2507</v>
      </c>
      <c r="C31" s="214" t="s">
        <v>2039</v>
      </c>
      <c r="D31" s="214">
        <v>37</v>
      </c>
      <c r="E31" s="214" t="s">
        <v>233</v>
      </c>
    </row>
    <row r="32" spans="1:5" x14ac:dyDescent="0.25">
      <c r="A32" s="239">
        <v>46092.388356481482</v>
      </c>
      <c r="B32" s="214" t="s">
        <v>2507</v>
      </c>
      <c r="C32" s="214" t="s">
        <v>2038</v>
      </c>
      <c r="D32" s="214">
        <v>36</v>
      </c>
      <c r="E32" s="214" t="s">
        <v>233</v>
      </c>
    </row>
    <row r="33" spans="1:5" x14ac:dyDescent="0.25">
      <c r="A33" s="239">
        <v>46092.388356481482</v>
      </c>
      <c r="B33" s="214" t="s">
        <v>2507</v>
      </c>
      <c r="C33" s="214" t="s">
        <v>2037</v>
      </c>
      <c r="D33" s="214">
        <v>35</v>
      </c>
      <c r="E33" s="214" t="s">
        <v>233</v>
      </c>
    </row>
    <row r="34" spans="1:5" x14ac:dyDescent="0.25">
      <c r="A34" s="239">
        <v>46092.388356481482</v>
      </c>
      <c r="B34" s="214" t="s">
        <v>2507</v>
      </c>
      <c r="C34" s="214" t="s">
        <v>2036</v>
      </c>
      <c r="D34" s="214">
        <v>34</v>
      </c>
      <c r="E34" s="214" t="s">
        <v>233</v>
      </c>
    </row>
    <row r="35" spans="1:5" x14ac:dyDescent="0.25">
      <c r="A35" s="239">
        <v>46092.388356481482</v>
      </c>
      <c r="B35" s="214" t="s">
        <v>2507</v>
      </c>
      <c r="C35" s="214" t="s">
        <v>2035</v>
      </c>
      <c r="D35" s="214">
        <v>33</v>
      </c>
      <c r="E35" s="214" t="s">
        <v>233</v>
      </c>
    </row>
    <row r="36" spans="1:5" x14ac:dyDescent="0.25">
      <c r="A36" s="239">
        <v>46092.388356481482</v>
      </c>
      <c r="B36" s="214" t="s">
        <v>2507</v>
      </c>
      <c r="C36" s="214" t="s">
        <v>2034</v>
      </c>
      <c r="D36" s="214">
        <v>32</v>
      </c>
      <c r="E36" s="214" t="s">
        <v>233</v>
      </c>
    </row>
    <row r="37" spans="1:5" x14ac:dyDescent="0.25">
      <c r="A37" s="239">
        <v>46092.388356481482</v>
      </c>
      <c r="B37" s="214" t="s">
        <v>2507</v>
      </c>
      <c r="C37" s="214" t="s">
        <v>2033</v>
      </c>
      <c r="D37" s="214">
        <v>31</v>
      </c>
      <c r="E37" s="214" t="s">
        <v>233</v>
      </c>
    </row>
    <row r="38" spans="1:5" x14ac:dyDescent="0.25">
      <c r="A38" s="239">
        <v>46092.385763888888</v>
      </c>
      <c r="B38" s="214" t="s">
        <v>2505</v>
      </c>
      <c r="C38" s="214" t="s">
        <v>2135</v>
      </c>
      <c r="D38" s="214">
        <v>31</v>
      </c>
    </row>
    <row r="39" spans="1:5" x14ac:dyDescent="0.25">
      <c r="A39" s="239">
        <v>46092.385763888888</v>
      </c>
      <c r="B39" s="214" t="s">
        <v>2505</v>
      </c>
      <c r="C39" s="214" t="s">
        <v>2134</v>
      </c>
      <c r="D39" s="214">
        <v>30</v>
      </c>
    </row>
    <row r="40" spans="1:5" x14ac:dyDescent="0.25">
      <c r="A40" s="239">
        <v>46092.385763888888</v>
      </c>
      <c r="B40" s="214" t="s">
        <v>2505</v>
      </c>
      <c r="C40" s="214" t="s">
        <v>2133</v>
      </c>
      <c r="D40" s="214">
        <v>29</v>
      </c>
    </row>
    <row r="41" spans="1:5" x14ac:dyDescent="0.25">
      <c r="A41" s="239">
        <v>46092.385763888888</v>
      </c>
      <c r="B41" s="214" t="s">
        <v>2505</v>
      </c>
      <c r="C41" s="214" t="s">
        <v>2132</v>
      </c>
      <c r="D41" s="214">
        <v>28</v>
      </c>
    </row>
    <row r="42" spans="1:5" x14ac:dyDescent="0.25">
      <c r="A42" s="239">
        <v>46092.385763888888</v>
      </c>
      <c r="B42" s="214" t="s">
        <v>2505</v>
      </c>
      <c r="C42" s="214" t="s">
        <v>2131</v>
      </c>
      <c r="D42" s="214">
        <v>27</v>
      </c>
    </row>
    <row r="43" spans="1:5" x14ac:dyDescent="0.25">
      <c r="A43" s="239">
        <v>46092.385763888888</v>
      </c>
      <c r="B43" s="214" t="s">
        <v>2505</v>
      </c>
      <c r="C43" s="214" t="s">
        <v>2130</v>
      </c>
      <c r="D43" s="214">
        <v>26</v>
      </c>
    </row>
    <row r="44" spans="1:5" x14ac:dyDescent="0.25">
      <c r="A44" s="239">
        <v>46092.385763888888</v>
      </c>
      <c r="B44" s="214" t="s">
        <v>2505</v>
      </c>
      <c r="C44" s="214" t="s">
        <v>2129</v>
      </c>
      <c r="D44" s="214">
        <v>25</v>
      </c>
    </row>
    <row r="45" spans="1:5" x14ac:dyDescent="0.25">
      <c r="A45" s="239">
        <v>46092.385763888888</v>
      </c>
      <c r="B45" s="214" t="s">
        <v>2505</v>
      </c>
      <c r="C45" s="214" t="s">
        <v>2128</v>
      </c>
      <c r="D45" s="214">
        <v>24</v>
      </c>
    </row>
    <row r="46" spans="1:5" x14ac:dyDescent="0.25">
      <c r="A46" s="239">
        <v>46092.385763888888</v>
      </c>
      <c r="B46" s="214" t="s">
        <v>2505</v>
      </c>
      <c r="C46" s="214" t="s">
        <v>2127</v>
      </c>
      <c r="D46" s="214">
        <v>23</v>
      </c>
    </row>
    <row r="47" spans="1:5" x14ac:dyDescent="0.25">
      <c r="A47" s="239">
        <v>46092.385763888888</v>
      </c>
      <c r="B47" s="214" t="s">
        <v>2505</v>
      </c>
      <c r="C47" s="214" t="s">
        <v>2126</v>
      </c>
      <c r="D47" s="214">
        <v>22</v>
      </c>
    </row>
    <row r="48" spans="1:5" x14ac:dyDescent="0.25">
      <c r="A48" s="239">
        <v>46092.385763888888</v>
      </c>
      <c r="B48" s="214" t="s">
        <v>2505</v>
      </c>
      <c r="C48" s="214" t="s">
        <v>2125</v>
      </c>
      <c r="D48" s="214">
        <v>21</v>
      </c>
    </row>
    <row r="49" spans="1:4" x14ac:dyDescent="0.25">
      <c r="A49" s="239">
        <v>46092.385763888888</v>
      </c>
      <c r="B49" s="214" t="s">
        <v>2505</v>
      </c>
      <c r="C49" s="214" t="s">
        <v>2124</v>
      </c>
      <c r="D49" s="214">
        <v>20</v>
      </c>
    </row>
    <row r="50" spans="1:4" x14ac:dyDescent="0.25">
      <c r="A50" s="239">
        <v>46092.385763888888</v>
      </c>
      <c r="B50" s="214" t="s">
        <v>2505</v>
      </c>
      <c r="C50" s="214" t="s">
        <v>2123</v>
      </c>
      <c r="D50" s="214">
        <v>19</v>
      </c>
    </row>
    <row r="51" spans="1:4" x14ac:dyDescent="0.25">
      <c r="A51" s="239">
        <v>46092.385763888888</v>
      </c>
      <c r="B51" s="214" t="s">
        <v>2505</v>
      </c>
      <c r="C51" s="214" t="s">
        <v>2122</v>
      </c>
      <c r="D51" s="214">
        <v>18</v>
      </c>
    </row>
    <row r="52" spans="1:4" x14ac:dyDescent="0.25">
      <c r="A52" s="239">
        <v>46092.385763888888</v>
      </c>
      <c r="B52" s="214" t="s">
        <v>2505</v>
      </c>
      <c r="C52" s="214" t="s">
        <v>2121</v>
      </c>
      <c r="D52" s="214">
        <v>17</v>
      </c>
    </row>
    <row r="53" spans="1:4" x14ac:dyDescent="0.25">
      <c r="A53" s="239">
        <v>46092.385763888888</v>
      </c>
      <c r="B53" s="214" t="s">
        <v>2505</v>
      </c>
      <c r="C53" s="214" t="s">
        <v>2120</v>
      </c>
      <c r="D53" s="214">
        <v>16</v>
      </c>
    </row>
    <row r="54" spans="1:4" x14ac:dyDescent="0.25">
      <c r="A54" s="239">
        <v>46092.385752314818</v>
      </c>
      <c r="B54" s="214" t="s">
        <v>2505</v>
      </c>
      <c r="C54" s="214" t="s">
        <v>2164</v>
      </c>
      <c r="D54" s="214">
        <v>60</v>
      </c>
    </row>
    <row r="55" spans="1:4" x14ac:dyDescent="0.25">
      <c r="A55" s="239">
        <v>46092.385752314818</v>
      </c>
      <c r="B55" s="214" t="s">
        <v>2505</v>
      </c>
      <c r="C55" s="214" t="s">
        <v>2163</v>
      </c>
      <c r="D55" s="214">
        <v>59</v>
      </c>
    </row>
    <row r="56" spans="1:4" x14ac:dyDescent="0.25">
      <c r="A56" s="239">
        <v>46092.385752314818</v>
      </c>
      <c r="B56" s="214" t="s">
        <v>2505</v>
      </c>
      <c r="C56" s="214" t="s">
        <v>2162</v>
      </c>
      <c r="D56" s="214">
        <v>58</v>
      </c>
    </row>
    <row r="57" spans="1:4" x14ac:dyDescent="0.25">
      <c r="A57" s="239">
        <v>46092.385752314818</v>
      </c>
      <c r="B57" s="214" t="s">
        <v>2505</v>
      </c>
      <c r="C57" s="214" t="s">
        <v>2161</v>
      </c>
      <c r="D57" s="214">
        <v>57</v>
      </c>
    </row>
    <row r="58" spans="1:4" x14ac:dyDescent="0.25">
      <c r="A58" s="239">
        <v>46092.385752314818</v>
      </c>
      <c r="B58" s="214" t="s">
        <v>2505</v>
      </c>
      <c r="C58" s="214" t="s">
        <v>2160</v>
      </c>
      <c r="D58" s="214">
        <v>56</v>
      </c>
    </row>
    <row r="59" spans="1:4" x14ac:dyDescent="0.25">
      <c r="A59" s="239">
        <v>46092.385752314818</v>
      </c>
      <c r="B59" s="214" t="s">
        <v>2505</v>
      </c>
      <c r="C59" s="214" t="s">
        <v>2159</v>
      </c>
      <c r="D59" s="214">
        <v>55</v>
      </c>
    </row>
    <row r="60" spans="1:4" x14ac:dyDescent="0.25">
      <c r="A60" s="239">
        <v>46092.385752314818</v>
      </c>
      <c r="B60" s="214" t="s">
        <v>2505</v>
      </c>
      <c r="C60" s="214" t="s">
        <v>2158</v>
      </c>
      <c r="D60" s="214">
        <v>54</v>
      </c>
    </row>
    <row r="61" spans="1:4" x14ac:dyDescent="0.25">
      <c r="A61" s="239">
        <v>46092.385752314818</v>
      </c>
      <c r="B61" s="214" t="s">
        <v>2505</v>
      </c>
      <c r="C61" s="214" t="s">
        <v>2157</v>
      </c>
      <c r="D61" s="214">
        <v>53</v>
      </c>
    </row>
    <row r="62" spans="1:4" x14ac:dyDescent="0.25">
      <c r="A62" s="239">
        <v>46092.385752314818</v>
      </c>
      <c r="B62" s="214" t="s">
        <v>2505</v>
      </c>
      <c r="C62" s="214" t="s">
        <v>2156</v>
      </c>
      <c r="D62" s="214">
        <v>52</v>
      </c>
    </row>
    <row r="63" spans="1:4" x14ac:dyDescent="0.25">
      <c r="A63" s="239">
        <v>46092.385752314818</v>
      </c>
      <c r="B63" s="214" t="s">
        <v>2505</v>
      </c>
      <c r="C63" s="214" t="s">
        <v>2155</v>
      </c>
      <c r="D63" s="214">
        <v>51</v>
      </c>
    </row>
    <row r="64" spans="1:4" x14ac:dyDescent="0.25">
      <c r="A64" s="239">
        <v>46092.385752314818</v>
      </c>
      <c r="B64" s="214" t="s">
        <v>2505</v>
      </c>
      <c r="C64" s="214" t="s">
        <v>2154</v>
      </c>
      <c r="D64" s="214">
        <v>50</v>
      </c>
    </row>
    <row r="65" spans="1:4" x14ac:dyDescent="0.25">
      <c r="A65" s="239">
        <v>46092.385752314818</v>
      </c>
      <c r="B65" s="214" t="s">
        <v>2505</v>
      </c>
      <c r="C65" s="214" t="s">
        <v>2153</v>
      </c>
      <c r="D65" s="214">
        <v>49</v>
      </c>
    </row>
    <row r="66" spans="1:4" x14ac:dyDescent="0.25">
      <c r="A66" s="239">
        <v>46092.385752314818</v>
      </c>
      <c r="B66" s="214" t="s">
        <v>2505</v>
      </c>
      <c r="C66" s="214" t="s">
        <v>2152</v>
      </c>
      <c r="D66" s="214">
        <v>48</v>
      </c>
    </row>
    <row r="67" spans="1:4" x14ac:dyDescent="0.25">
      <c r="A67" s="239">
        <v>46092.385752314818</v>
      </c>
      <c r="B67" s="214" t="s">
        <v>2505</v>
      </c>
      <c r="C67" s="214" t="s">
        <v>2151</v>
      </c>
      <c r="D67" s="214">
        <v>47</v>
      </c>
    </row>
    <row r="68" spans="1:4" x14ac:dyDescent="0.25">
      <c r="A68" s="239">
        <v>46092.385752314818</v>
      </c>
      <c r="B68" s="214" t="s">
        <v>2505</v>
      </c>
      <c r="C68" s="214" t="s">
        <v>2150</v>
      </c>
      <c r="D68" s="214">
        <v>46</v>
      </c>
    </row>
    <row r="69" spans="1:4" x14ac:dyDescent="0.25">
      <c r="A69" s="239">
        <v>46092.385752314818</v>
      </c>
      <c r="B69" s="214" t="s">
        <v>2505</v>
      </c>
      <c r="C69" s="214" t="s">
        <v>2149</v>
      </c>
      <c r="D69" s="214">
        <v>45</v>
      </c>
    </row>
    <row r="70" spans="1:4" x14ac:dyDescent="0.25">
      <c r="A70" s="239">
        <v>46092.385752314818</v>
      </c>
      <c r="B70" s="214" t="s">
        <v>2505</v>
      </c>
      <c r="C70" s="214" t="s">
        <v>2148</v>
      </c>
      <c r="D70" s="214">
        <v>44</v>
      </c>
    </row>
    <row r="71" spans="1:4" x14ac:dyDescent="0.25">
      <c r="A71" s="239">
        <v>46092.385752314818</v>
      </c>
      <c r="B71" s="214" t="s">
        <v>2505</v>
      </c>
      <c r="C71" s="214" t="s">
        <v>2147</v>
      </c>
      <c r="D71" s="214">
        <v>43</v>
      </c>
    </row>
    <row r="72" spans="1:4" x14ac:dyDescent="0.25">
      <c r="A72" s="239">
        <v>46092.385752314818</v>
      </c>
      <c r="B72" s="214" t="s">
        <v>2505</v>
      </c>
      <c r="C72" s="214" t="s">
        <v>2146</v>
      </c>
      <c r="D72" s="214">
        <v>42</v>
      </c>
    </row>
    <row r="73" spans="1:4" x14ac:dyDescent="0.25">
      <c r="A73" s="239">
        <v>46092.385752314818</v>
      </c>
      <c r="B73" s="214" t="s">
        <v>2505</v>
      </c>
      <c r="C73" s="214" t="s">
        <v>2145</v>
      </c>
      <c r="D73" s="214">
        <v>41</v>
      </c>
    </row>
    <row r="74" spans="1:4" x14ac:dyDescent="0.25">
      <c r="A74" s="239">
        <v>46092.385752314818</v>
      </c>
      <c r="B74" s="214" t="s">
        <v>2505</v>
      </c>
      <c r="C74" s="214" t="s">
        <v>2144</v>
      </c>
      <c r="D74" s="214">
        <v>40</v>
      </c>
    </row>
    <row r="75" spans="1:4" x14ac:dyDescent="0.25">
      <c r="A75" s="239">
        <v>46092.385752314818</v>
      </c>
      <c r="B75" s="214" t="s">
        <v>2505</v>
      </c>
      <c r="C75" s="214" t="s">
        <v>2143</v>
      </c>
      <c r="D75" s="214">
        <v>39</v>
      </c>
    </row>
    <row r="76" spans="1:4" x14ac:dyDescent="0.25">
      <c r="A76" s="239">
        <v>46092.385752314818</v>
      </c>
      <c r="B76" s="214" t="s">
        <v>2505</v>
      </c>
      <c r="C76" s="214" t="s">
        <v>2142</v>
      </c>
      <c r="D76" s="214">
        <v>38</v>
      </c>
    </row>
    <row r="77" spans="1:4" x14ac:dyDescent="0.25">
      <c r="A77" s="239">
        <v>46092.385752314818</v>
      </c>
      <c r="B77" s="214" t="s">
        <v>2505</v>
      </c>
      <c r="C77" s="214" t="s">
        <v>2141</v>
      </c>
      <c r="D77" s="214">
        <v>37</v>
      </c>
    </row>
    <row r="78" spans="1:4" x14ac:dyDescent="0.25">
      <c r="A78" s="239">
        <v>46092.385752314818</v>
      </c>
      <c r="B78" s="214" t="s">
        <v>2505</v>
      </c>
      <c r="C78" s="214" t="s">
        <v>2140</v>
      </c>
      <c r="D78" s="214">
        <v>36</v>
      </c>
    </row>
    <row r="79" spans="1:4" x14ac:dyDescent="0.25">
      <c r="A79" s="239">
        <v>46092.385752314818</v>
      </c>
      <c r="B79" s="214" t="s">
        <v>2505</v>
      </c>
      <c r="C79" s="214" t="s">
        <v>2139</v>
      </c>
      <c r="D79" s="214">
        <v>35</v>
      </c>
    </row>
    <row r="80" spans="1:4" x14ac:dyDescent="0.25">
      <c r="A80" s="239">
        <v>46092.385752314818</v>
      </c>
      <c r="B80" s="214" t="s">
        <v>2505</v>
      </c>
      <c r="C80" s="214" t="s">
        <v>2138</v>
      </c>
      <c r="D80" s="214">
        <v>34</v>
      </c>
    </row>
    <row r="81" spans="1:4" x14ac:dyDescent="0.25">
      <c r="A81" s="239">
        <v>46092.385752314818</v>
      </c>
      <c r="B81" s="214" t="s">
        <v>2505</v>
      </c>
      <c r="C81" s="214" t="s">
        <v>2137</v>
      </c>
      <c r="D81" s="214">
        <v>33</v>
      </c>
    </row>
    <row r="82" spans="1:4" x14ac:dyDescent="0.25">
      <c r="A82" s="239">
        <v>46092.385752314818</v>
      </c>
      <c r="B82" s="214" t="s">
        <v>2505</v>
      </c>
      <c r="C82" s="214" t="s">
        <v>2136</v>
      </c>
      <c r="D82" s="214">
        <v>32</v>
      </c>
    </row>
    <row r="83" spans="1:4" x14ac:dyDescent="0.25">
      <c r="A83" s="239">
        <v>46092.361250000002</v>
      </c>
      <c r="B83" s="214" t="s">
        <v>2505</v>
      </c>
      <c r="C83" s="214" t="s">
        <v>2270</v>
      </c>
      <c r="D83" s="214">
        <v>166</v>
      </c>
    </row>
    <row r="84" spans="1:4" x14ac:dyDescent="0.25">
      <c r="A84" s="239">
        <v>46092.361250000002</v>
      </c>
      <c r="B84" s="214" t="s">
        <v>2505</v>
      </c>
      <c r="C84" s="214" t="s">
        <v>2269</v>
      </c>
      <c r="D84" s="214">
        <v>165</v>
      </c>
    </row>
    <row r="85" spans="1:4" x14ac:dyDescent="0.25">
      <c r="A85" s="239">
        <v>46092.361250000002</v>
      </c>
      <c r="B85" s="214" t="s">
        <v>2505</v>
      </c>
      <c r="C85" s="214" t="s">
        <v>2268</v>
      </c>
      <c r="D85" s="214">
        <v>164</v>
      </c>
    </row>
    <row r="86" spans="1:4" x14ac:dyDescent="0.25">
      <c r="A86" s="239">
        <v>46092.361250000002</v>
      </c>
      <c r="B86" s="214" t="s">
        <v>2505</v>
      </c>
      <c r="C86" s="214" t="s">
        <v>2267</v>
      </c>
      <c r="D86" s="214">
        <v>163</v>
      </c>
    </row>
    <row r="87" spans="1:4" x14ac:dyDescent="0.25">
      <c r="A87" s="239">
        <v>46092.361250000002</v>
      </c>
      <c r="B87" s="214" t="s">
        <v>2505</v>
      </c>
      <c r="C87" s="214" t="s">
        <v>2266</v>
      </c>
      <c r="D87" s="214">
        <v>162</v>
      </c>
    </row>
    <row r="88" spans="1:4" x14ac:dyDescent="0.25">
      <c r="A88" s="239">
        <v>46092.361250000002</v>
      </c>
      <c r="B88" s="214" t="s">
        <v>2505</v>
      </c>
      <c r="C88" s="214" t="s">
        <v>2265</v>
      </c>
      <c r="D88" s="214">
        <v>161</v>
      </c>
    </row>
    <row r="89" spans="1:4" x14ac:dyDescent="0.25">
      <c r="A89" s="239">
        <v>46092.361250000002</v>
      </c>
      <c r="B89" s="214" t="s">
        <v>2505</v>
      </c>
      <c r="C89" s="214" t="s">
        <v>2264</v>
      </c>
      <c r="D89" s="214">
        <v>160</v>
      </c>
    </row>
    <row r="90" spans="1:4" x14ac:dyDescent="0.25">
      <c r="A90" s="239">
        <v>46092.361250000002</v>
      </c>
      <c r="B90" s="214" t="s">
        <v>2505</v>
      </c>
      <c r="C90" s="214" t="s">
        <v>2263</v>
      </c>
      <c r="D90" s="214">
        <v>159</v>
      </c>
    </row>
    <row r="91" spans="1:4" x14ac:dyDescent="0.25">
      <c r="A91" s="239">
        <v>46092.361250000002</v>
      </c>
      <c r="B91" s="214" t="s">
        <v>2505</v>
      </c>
      <c r="C91" s="214" t="s">
        <v>2262</v>
      </c>
      <c r="D91" s="214">
        <v>158</v>
      </c>
    </row>
    <row r="92" spans="1:4" x14ac:dyDescent="0.25">
      <c r="A92" s="239">
        <v>46092.361250000002</v>
      </c>
      <c r="B92" s="214" t="s">
        <v>2505</v>
      </c>
      <c r="C92" s="214" t="s">
        <v>2261</v>
      </c>
      <c r="D92" s="214">
        <v>157</v>
      </c>
    </row>
    <row r="93" spans="1:4" x14ac:dyDescent="0.25">
      <c r="A93" s="239">
        <v>46092.361250000002</v>
      </c>
      <c r="B93" s="214" t="s">
        <v>2505</v>
      </c>
      <c r="C93" s="214" t="s">
        <v>2260</v>
      </c>
      <c r="D93" s="214">
        <v>156</v>
      </c>
    </row>
    <row r="94" spans="1:4" x14ac:dyDescent="0.25">
      <c r="A94" s="239">
        <v>46092.361250000002</v>
      </c>
      <c r="B94" s="214" t="s">
        <v>2505</v>
      </c>
      <c r="C94" s="214" t="s">
        <v>2259</v>
      </c>
      <c r="D94" s="214">
        <v>155</v>
      </c>
    </row>
    <row r="95" spans="1:4" x14ac:dyDescent="0.25">
      <c r="A95" s="239">
        <v>46092.361250000002</v>
      </c>
      <c r="B95" s="214" t="s">
        <v>2505</v>
      </c>
      <c r="C95" s="214" t="s">
        <v>2258</v>
      </c>
      <c r="D95" s="214">
        <v>154</v>
      </c>
    </row>
    <row r="96" spans="1:4" x14ac:dyDescent="0.25">
      <c r="A96" s="239">
        <v>46092.361250000002</v>
      </c>
      <c r="B96" s="214" t="s">
        <v>2505</v>
      </c>
      <c r="C96" s="214" t="s">
        <v>2257</v>
      </c>
      <c r="D96" s="214">
        <v>153</v>
      </c>
    </row>
    <row r="97" spans="1:4" x14ac:dyDescent="0.25">
      <c r="A97" s="239">
        <v>46092.361250000002</v>
      </c>
      <c r="B97" s="214" t="s">
        <v>2505</v>
      </c>
      <c r="C97" s="214" t="s">
        <v>2256</v>
      </c>
      <c r="D97" s="214">
        <v>152</v>
      </c>
    </row>
    <row r="98" spans="1:4" x14ac:dyDescent="0.25">
      <c r="A98" s="239">
        <v>46092.361250000002</v>
      </c>
      <c r="B98" s="214" t="s">
        <v>2505</v>
      </c>
      <c r="C98" s="214" t="s">
        <v>2255</v>
      </c>
      <c r="D98" s="214">
        <v>151</v>
      </c>
    </row>
    <row r="99" spans="1:4" x14ac:dyDescent="0.25">
      <c r="A99" s="239">
        <v>46092.361250000002</v>
      </c>
      <c r="B99" s="214" t="s">
        <v>2505</v>
      </c>
      <c r="C99" s="214" t="s">
        <v>2254</v>
      </c>
      <c r="D99" s="214">
        <v>150</v>
      </c>
    </row>
    <row r="100" spans="1:4" x14ac:dyDescent="0.25">
      <c r="A100" s="239">
        <v>46092.361250000002</v>
      </c>
      <c r="B100" s="214" t="s">
        <v>2505</v>
      </c>
      <c r="C100" s="214" t="s">
        <v>2253</v>
      </c>
      <c r="D100" s="214">
        <v>149</v>
      </c>
    </row>
    <row r="101" spans="1:4" x14ac:dyDescent="0.25">
      <c r="A101" s="239">
        <v>46092.361250000002</v>
      </c>
      <c r="B101" s="214" t="s">
        <v>2505</v>
      </c>
      <c r="C101" s="214" t="s">
        <v>2252</v>
      </c>
      <c r="D101" s="214">
        <v>148</v>
      </c>
    </row>
    <row r="102" spans="1:4" x14ac:dyDescent="0.25">
      <c r="A102" s="239">
        <v>46092.361250000002</v>
      </c>
      <c r="B102" s="214" t="s">
        <v>2505</v>
      </c>
      <c r="C102" s="214" t="s">
        <v>2251</v>
      </c>
      <c r="D102" s="214">
        <v>147</v>
      </c>
    </row>
    <row r="103" spans="1:4" x14ac:dyDescent="0.25">
      <c r="A103" s="239">
        <v>46092.361250000002</v>
      </c>
      <c r="B103" s="214" t="s">
        <v>2505</v>
      </c>
      <c r="C103" s="214" t="s">
        <v>2250</v>
      </c>
      <c r="D103" s="214">
        <v>146</v>
      </c>
    </row>
    <row r="104" spans="1:4" x14ac:dyDescent="0.25">
      <c r="A104" s="239">
        <v>46092.361250000002</v>
      </c>
      <c r="B104" s="214" t="s">
        <v>2505</v>
      </c>
      <c r="C104" s="214" t="s">
        <v>2249</v>
      </c>
      <c r="D104" s="214">
        <v>145</v>
      </c>
    </row>
    <row r="105" spans="1:4" x14ac:dyDescent="0.25">
      <c r="A105" s="239">
        <v>46092.361250000002</v>
      </c>
      <c r="B105" s="214" t="s">
        <v>2505</v>
      </c>
      <c r="C105" s="214" t="s">
        <v>2248</v>
      </c>
      <c r="D105" s="214">
        <v>144</v>
      </c>
    </row>
    <row r="106" spans="1:4" x14ac:dyDescent="0.25">
      <c r="A106" s="239">
        <v>46092.361250000002</v>
      </c>
      <c r="B106" s="214" t="s">
        <v>2505</v>
      </c>
      <c r="C106" s="214" t="s">
        <v>2247</v>
      </c>
      <c r="D106" s="214">
        <v>143</v>
      </c>
    </row>
    <row r="107" spans="1:4" x14ac:dyDescent="0.25">
      <c r="A107" s="239">
        <v>46092.361250000002</v>
      </c>
      <c r="B107" s="214" t="s">
        <v>2505</v>
      </c>
      <c r="C107" s="214" t="s">
        <v>2246</v>
      </c>
      <c r="D107" s="214">
        <v>142</v>
      </c>
    </row>
    <row r="108" spans="1:4" x14ac:dyDescent="0.25">
      <c r="A108" s="239">
        <v>46092.361250000002</v>
      </c>
      <c r="B108" s="214" t="s">
        <v>2505</v>
      </c>
      <c r="C108" s="214" t="s">
        <v>2245</v>
      </c>
      <c r="D108" s="214">
        <v>141</v>
      </c>
    </row>
    <row r="109" spans="1:4" x14ac:dyDescent="0.25">
      <c r="A109" s="239">
        <v>46092.361250000002</v>
      </c>
      <c r="B109" s="214" t="s">
        <v>2505</v>
      </c>
      <c r="C109" s="214" t="s">
        <v>2244</v>
      </c>
      <c r="D109" s="214">
        <v>140</v>
      </c>
    </row>
    <row r="110" spans="1:4" x14ac:dyDescent="0.25">
      <c r="A110" s="239">
        <v>46092.361250000002</v>
      </c>
      <c r="B110" s="214" t="s">
        <v>2505</v>
      </c>
      <c r="C110" s="214" t="s">
        <v>2243</v>
      </c>
      <c r="D110" s="214">
        <v>139</v>
      </c>
    </row>
    <row r="111" spans="1:4" x14ac:dyDescent="0.25">
      <c r="A111" s="239">
        <v>46092.361250000002</v>
      </c>
      <c r="B111" s="214" t="s">
        <v>2505</v>
      </c>
      <c r="C111" s="214" t="s">
        <v>2242</v>
      </c>
      <c r="D111" s="214">
        <v>138</v>
      </c>
    </row>
    <row r="112" spans="1:4" x14ac:dyDescent="0.25">
      <c r="A112" s="239">
        <v>46092.361250000002</v>
      </c>
      <c r="B112" s="214" t="s">
        <v>2505</v>
      </c>
      <c r="C112" s="214" t="s">
        <v>2241</v>
      </c>
      <c r="D112" s="214">
        <v>137</v>
      </c>
    </row>
    <row r="113" spans="1:4" x14ac:dyDescent="0.25">
      <c r="A113" s="239">
        <v>46092.361250000002</v>
      </c>
      <c r="B113" s="214" t="s">
        <v>2505</v>
      </c>
      <c r="C113" s="214" t="s">
        <v>2240</v>
      </c>
      <c r="D113" s="214">
        <v>136</v>
      </c>
    </row>
    <row r="114" spans="1:4" x14ac:dyDescent="0.25">
      <c r="A114" s="239">
        <v>46092.361250000002</v>
      </c>
      <c r="B114" s="214" t="s">
        <v>2505</v>
      </c>
      <c r="C114" s="214" t="s">
        <v>2239</v>
      </c>
      <c r="D114" s="214">
        <v>135</v>
      </c>
    </row>
    <row r="115" spans="1:4" x14ac:dyDescent="0.25">
      <c r="A115" s="239">
        <v>46092.361250000002</v>
      </c>
      <c r="B115" s="214" t="s">
        <v>2505</v>
      </c>
      <c r="C115" s="214" t="s">
        <v>2238</v>
      </c>
      <c r="D115" s="214">
        <v>134</v>
      </c>
    </row>
    <row r="116" spans="1:4" x14ac:dyDescent="0.25">
      <c r="A116" s="239">
        <v>46092.361250000002</v>
      </c>
      <c r="B116" s="214" t="s">
        <v>2505</v>
      </c>
      <c r="C116" s="214" t="s">
        <v>2237</v>
      </c>
      <c r="D116" s="214">
        <v>133</v>
      </c>
    </row>
    <row r="117" spans="1:4" x14ac:dyDescent="0.25">
      <c r="A117" s="239">
        <v>46092.361250000002</v>
      </c>
      <c r="B117" s="214" t="s">
        <v>2505</v>
      </c>
      <c r="C117" s="214" t="s">
        <v>2236</v>
      </c>
      <c r="D117" s="214">
        <v>132</v>
      </c>
    </row>
    <row r="118" spans="1:4" x14ac:dyDescent="0.25">
      <c r="A118" s="239">
        <v>46092.361250000002</v>
      </c>
      <c r="B118" s="214" t="s">
        <v>2505</v>
      </c>
      <c r="C118" s="214" t="s">
        <v>2235</v>
      </c>
      <c r="D118" s="214">
        <v>131</v>
      </c>
    </row>
    <row r="119" spans="1:4" x14ac:dyDescent="0.25">
      <c r="A119" s="239">
        <v>46092.361250000002</v>
      </c>
      <c r="B119" s="214" t="s">
        <v>2505</v>
      </c>
      <c r="C119" s="214" t="s">
        <v>2234</v>
      </c>
      <c r="D119" s="214">
        <v>130</v>
      </c>
    </row>
    <row r="120" spans="1:4" x14ac:dyDescent="0.25">
      <c r="A120" s="239">
        <v>46092.361250000002</v>
      </c>
      <c r="B120" s="214" t="s">
        <v>2505</v>
      </c>
      <c r="C120" s="214" t="s">
        <v>2233</v>
      </c>
      <c r="D120" s="214">
        <v>129</v>
      </c>
    </row>
    <row r="121" spans="1:4" x14ac:dyDescent="0.25">
      <c r="A121" s="239">
        <v>46092.361250000002</v>
      </c>
      <c r="B121" s="214" t="s">
        <v>2505</v>
      </c>
      <c r="C121" s="214" t="s">
        <v>2232</v>
      </c>
      <c r="D121" s="214">
        <v>128</v>
      </c>
    </row>
    <row r="122" spans="1:4" x14ac:dyDescent="0.25">
      <c r="A122" s="239">
        <v>46092.361250000002</v>
      </c>
      <c r="B122" s="214" t="s">
        <v>2505</v>
      </c>
      <c r="C122" s="214" t="s">
        <v>2231</v>
      </c>
      <c r="D122" s="214">
        <v>127</v>
      </c>
    </row>
    <row r="123" spans="1:4" x14ac:dyDescent="0.25">
      <c r="A123" s="239">
        <v>46092.361250000002</v>
      </c>
      <c r="B123" s="214" t="s">
        <v>2505</v>
      </c>
      <c r="C123" s="214" t="s">
        <v>2230</v>
      </c>
      <c r="D123" s="214">
        <v>126</v>
      </c>
    </row>
    <row r="124" spans="1:4" x14ac:dyDescent="0.25">
      <c r="A124" s="239">
        <v>46092.361250000002</v>
      </c>
      <c r="B124" s="214" t="s">
        <v>2505</v>
      </c>
      <c r="C124" s="214" t="s">
        <v>2229</v>
      </c>
      <c r="D124" s="214">
        <v>125</v>
      </c>
    </row>
    <row r="125" spans="1:4" x14ac:dyDescent="0.25">
      <c r="A125" s="239">
        <v>46092.361250000002</v>
      </c>
      <c r="B125" s="214" t="s">
        <v>2505</v>
      </c>
      <c r="C125" s="214" t="s">
        <v>2228</v>
      </c>
      <c r="D125" s="214">
        <v>124</v>
      </c>
    </row>
    <row r="126" spans="1:4" x14ac:dyDescent="0.25">
      <c r="A126" s="239">
        <v>46092.361250000002</v>
      </c>
      <c r="B126" s="214" t="s">
        <v>2505</v>
      </c>
      <c r="C126" s="214" t="s">
        <v>2227</v>
      </c>
      <c r="D126" s="214">
        <v>123</v>
      </c>
    </row>
    <row r="127" spans="1:4" x14ac:dyDescent="0.25">
      <c r="A127" s="239">
        <v>46092.361250000002</v>
      </c>
      <c r="B127" s="214" t="s">
        <v>2505</v>
      </c>
      <c r="C127" s="214" t="s">
        <v>2226</v>
      </c>
      <c r="D127" s="214">
        <v>122</v>
      </c>
    </row>
    <row r="128" spans="1:4" x14ac:dyDescent="0.25">
      <c r="A128" s="239">
        <v>46092.361250000002</v>
      </c>
      <c r="B128" s="214" t="s">
        <v>2505</v>
      </c>
      <c r="C128" s="214" t="s">
        <v>2225</v>
      </c>
      <c r="D128" s="214">
        <v>121</v>
      </c>
    </row>
    <row r="129" spans="1:4" x14ac:dyDescent="0.25">
      <c r="A129" s="239">
        <v>46092.361250000002</v>
      </c>
      <c r="B129" s="214" t="s">
        <v>2505</v>
      </c>
      <c r="C129" s="214" t="s">
        <v>2224</v>
      </c>
      <c r="D129" s="214">
        <v>120</v>
      </c>
    </row>
    <row r="130" spans="1:4" x14ac:dyDescent="0.25">
      <c r="A130" s="239">
        <v>46092.361250000002</v>
      </c>
      <c r="B130" s="214" t="s">
        <v>2505</v>
      </c>
      <c r="C130" s="214" t="s">
        <v>2223</v>
      </c>
      <c r="D130" s="214">
        <v>119</v>
      </c>
    </row>
    <row r="131" spans="1:4" x14ac:dyDescent="0.25">
      <c r="A131" s="239">
        <v>46092.361250000002</v>
      </c>
      <c r="B131" s="214" t="s">
        <v>2505</v>
      </c>
      <c r="C131" s="214" t="s">
        <v>2222</v>
      </c>
      <c r="D131" s="214">
        <v>118</v>
      </c>
    </row>
    <row r="132" spans="1:4" x14ac:dyDescent="0.25">
      <c r="A132" s="239">
        <v>46092.361250000002</v>
      </c>
      <c r="B132" s="214" t="s">
        <v>2505</v>
      </c>
      <c r="C132" s="214" t="s">
        <v>2221</v>
      </c>
      <c r="D132" s="214">
        <v>117</v>
      </c>
    </row>
    <row r="133" spans="1:4" x14ac:dyDescent="0.25">
      <c r="A133" s="239">
        <v>46092.361250000002</v>
      </c>
      <c r="B133" s="214" t="s">
        <v>2505</v>
      </c>
      <c r="C133" s="214" t="s">
        <v>2220</v>
      </c>
      <c r="D133" s="214">
        <v>116</v>
      </c>
    </row>
    <row r="134" spans="1:4" x14ac:dyDescent="0.25">
      <c r="A134" s="239">
        <v>46092.361250000002</v>
      </c>
      <c r="B134" s="214" t="s">
        <v>2505</v>
      </c>
      <c r="C134" s="214" t="s">
        <v>2219</v>
      </c>
      <c r="D134" s="214">
        <v>115</v>
      </c>
    </row>
    <row r="135" spans="1:4" x14ac:dyDescent="0.25">
      <c r="A135" s="239">
        <v>46092.361250000002</v>
      </c>
      <c r="B135" s="214" t="s">
        <v>2505</v>
      </c>
      <c r="C135" s="214" t="s">
        <v>2218</v>
      </c>
      <c r="D135" s="214">
        <v>114</v>
      </c>
    </row>
    <row r="136" spans="1:4" x14ac:dyDescent="0.25">
      <c r="A136" s="239">
        <v>46092.361250000002</v>
      </c>
      <c r="B136" s="214" t="s">
        <v>2505</v>
      </c>
      <c r="C136" s="214" t="s">
        <v>2217</v>
      </c>
      <c r="D136" s="214">
        <v>113</v>
      </c>
    </row>
    <row r="137" spans="1:4" x14ac:dyDescent="0.25">
      <c r="A137" s="239">
        <v>46092.361250000002</v>
      </c>
      <c r="B137" s="214" t="s">
        <v>2505</v>
      </c>
      <c r="C137" s="214" t="s">
        <v>2216</v>
      </c>
      <c r="D137" s="214">
        <v>112</v>
      </c>
    </row>
    <row r="138" spans="1:4" x14ac:dyDescent="0.25">
      <c r="A138" s="239">
        <v>46092.361250000002</v>
      </c>
      <c r="B138" s="214" t="s">
        <v>2505</v>
      </c>
      <c r="C138" s="214" t="s">
        <v>2215</v>
      </c>
      <c r="D138" s="214">
        <v>111</v>
      </c>
    </row>
    <row r="139" spans="1:4" x14ac:dyDescent="0.25">
      <c r="A139" s="239">
        <v>46092.361250000002</v>
      </c>
      <c r="B139" s="214" t="s">
        <v>2505</v>
      </c>
      <c r="C139" s="214" t="s">
        <v>2214</v>
      </c>
      <c r="D139" s="214">
        <v>110</v>
      </c>
    </row>
    <row r="140" spans="1:4" x14ac:dyDescent="0.25">
      <c r="A140" s="239">
        <v>46092.361250000002</v>
      </c>
      <c r="B140" s="214" t="s">
        <v>2505</v>
      </c>
      <c r="C140" s="214" t="s">
        <v>2213</v>
      </c>
      <c r="D140" s="214">
        <v>109</v>
      </c>
    </row>
    <row r="141" spans="1:4" x14ac:dyDescent="0.25">
      <c r="A141" s="239">
        <v>46092.361250000002</v>
      </c>
      <c r="B141" s="214" t="s">
        <v>2505</v>
      </c>
      <c r="C141" s="214" t="s">
        <v>2212</v>
      </c>
      <c r="D141" s="214">
        <v>108</v>
      </c>
    </row>
    <row r="142" spans="1:4" x14ac:dyDescent="0.25">
      <c r="A142" s="239">
        <v>46092.361250000002</v>
      </c>
      <c r="B142" s="214" t="s">
        <v>2505</v>
      </c>
      <c r="C142" s="214" t="s">
        <v>2211</v>
      </c>
      <c r="D142" s="214">
        <v>107</v>
      </c>
    </row>
    <row r="143" spans="1:4" x14ac:dyDescent="0.25">
      <c r="A143" s="239">
        <v>46092.361250000002</v>
      </c>
      <c r="B143" s="214" t="s">
        <v>2505</v>
      </c>
      <c r="C143" s="214" t="s">
        <v>2210</v>
      </c>
      <c r="D143" s="214">
        <v>106</v>
      </c>
    </row>
    <row r="144" spans="1:4" x14ac:dyDescent="0.25">
      <c r="A144" s="239">
        <v>46092.361250000002</v>
      </c>
      <c r="B144" s="214" t="s">
        <v>2505</v>
      </c>
      <c r="C144" s="214" t="s">
        <v>2209</v>
      </c>
      <c r="D144" s="214">
        <v>105</v>
      </c>
    </row>
    <row r="145" spans="1:4" x14ac:dyDescent="0.25">
      <c r="A145" s="239">
        <v>46092.361250000002</v>
      </c>
      <c r="B145" s="214" t="s">
        <v>2505</v>
      </c>
      <c r="C145" s="214" t="s">
        <v>2208</v>
      </c>
      <c r="D145" s="214">
        <v>104</v>
      </c>
    </row>
    <row r="146" spans="1:4" x14ac:dyDescent="0.25">
      <c r="A146" s="239">
        <v>46092.361250000002</v>
      </c>
      <c r="B146" s="214" t="s">
        <v>2505</v>
      </c>
      <c r="C146" s="214" t="s">
        <v>2207</v>
      </c>
      <c r="D146" s="214">
        <v>103</v>
      </c>
    </row>
    <row r="147" spans="1:4" x14ac:dyDescent="0.25">
      <c r="A147" s="239">
        <v>46092.361250000002</v>
      </c>
      <c r="B147" s="214" t="s">
        <v>2505</v>
      </c>
      <c r="C147" s="214" t="s">
        <v>2206</v>
      </c>
      <c r="D147" s="214">
        <v>102</v>
      </c>
    </row>
    <row r="148" spans="1:4" x14ac:dyDescent="0.25">
      <c r="A148" s="239">
        <v>46092.361250000002</v>
      </c>
      <c r="B148" s="214" t="s">
        <v>2505</v>
      </c>
      <c r="C148" s="214" t="s">
        <v>2205</v>
      </c>
      <c r="D148" s="214">
        <v>101</v>
      </c>
    </row>
    <row r="149" spans="1:4" x14ac:dyDescent="0.25">
      <c r="A149" s="239">
        <v>46092.361250000002</v>
      </c>
      <c r="B149" s="214" t="s">
        <v>2505</v>
      </c>
      <c r="C149" s="214" t="s">
        <v>2204</v>
      </c>
      <c r="D149" s="214">
        <v>100</v>
      </c>
    </row>
    <row r="150" spans="1:4" x14ac:dyDescent="0.25">
      <c r="A150" s="239">
        <v>46092.361250000002</v>
      </c>
      <c r="B150" s="214" t="s">
        <v>2505</v>
      </c>
      <c r="C150" s="214" t="s">
        <v>2203</v>
      </c>
      <c r="D150" s="214">
        <v>99</v>
      </c>
    </row>
    <row r="151" spans="1:4" x14ac:dyDescent="0.25">
      <c r="A151" s="239">
        <v>46092.361250000002</v>
      </c>
      <c r="B151" s="214" t="s">
        <v>2505</v>
      </c>
      <c r="C151" s="214" t="s">
        <v>2202</v>
      </c>
      <c r="D151" s="214">
        <v>98</v>
      </c>
    </row>
    <row r="152" spans="1:4" x14ac:dyDescent="0.25">
      <c r="A152" s="239">
        <v>46092.361250000002</v>
      </c>
      <c r="B152" s="214" t="s">
        <v>2505</v>
      </c>
      <c r="C152" s="214" t="s">
        <v>2201</v>
      </c>
      <c r="D152" s="214">
        <v>97</v>
      </c>
    </row>
    <row r="153" spans="1:4" x14ac:dyDescent="0.25">
      <c r="A153" s="239">
        <v>46092.361250000002</v>
      </c>
      <c r="B153" s="214" t="s">
        <v>2505</v>
      </c>
      <c r="C153" s="214" t="s">
        <v>2200</v>
      </c>
      <c r="D153" s="214">
        <v>96</v>
      </c>
    </row>
    <row r="154" spans="1:4" x14ac:dyDescent="0.25">
      <c r="A154" s="239">
        <v>46092.361250000002</v>
      </c>
      <c r="B154" s="214" t="s">
        <v>2505</v>
      </c>
      <c r="C154" s="214" t="s">
        <v>2199</v>
      </c>
      <c r="D154" s="214">
        <v>95</v>
      </c>
    </row>
    <row r="155" spans="1:4" x14ac:dyDescent="0.25">
      <c r="A155" s="239">
        <v>46092.361250000002</v>
      </c>
      <c r="B155" s="214" t="s">
        <v>2505</v>
      </c>
      <c r="C155" s="214" t="s">
        <v>2198</v>
      </c>
      <c r="D155" s="214">
        <v>94</v>
      </c>
    </row>
    <row r="156" spans="1:4" x14ac:dyDescent="0.25">
      <c r="A156" s="239">
        <v>46092.361250000002</v>
      </c>
      <c r="B156" s="214" t="s">
        <v>2505</v>
      </c>
      <c r="C156" s="214" t="s">
        <v>2197</v>
      </c>
      <c r="D156" s="214">
        <v>93</v>
      </c>
    </row>
    <row r="157" spans="1:4" x14ac:dyDescent="0.25">
      <c r="A157" s="239">
        <v>46092.361250000002</v>
      </c>
      <c r="B157" s="214" t="s">
        <v>2505</v>
      </c>
      <c r="C157" s="214" t="s">
        <v>2196</v>
      </c>
      <c r="D157" s="214">
        <v>92</v>
      </c>
    </row>
    <row r="158" spans="1:4" x14ac:dyDescent="0.25">
      <c r="A158" s="239">
        <v>46092.361250000002</v>
      </c>
      <c r="B158" s="214" t="s">
        <v>2505</v>
      </c>
      <c r="C158" s="214" t="s">
        <v>2195</v>
      </c>
      <c r="D158" s="214">
        <v>91</v>
      </c>
    </row>
    <row r="159" spans="1:4" x14ac:dyDescent="0.25">
      <c r="A159" s="239">
        <v>46092.361250000002</v>
      </c>
      <c r="B159" s="214" t="s">
        <v>2505</v>
      </c>
      <c r="C159" s="214" t="s">
        <v>2194</v>
      </c>
      <c r="D159" s="214">
        <v>90</v>
      </c>
    </row>
    <row r="160" spans="1:4" x14ac:dyDescent="0.25">
      <c r="A160" s="239">
        <v>46092.361250000002</v>
      </c>
      <c r="B160" s="214" t="s">
        <v>2505</v>
      </c>
      <c r="C160" s="214" t="s">
        <v>2193</v>
      </c>
      <c r="D160" s="214">
        <v>89</v>
      </c>
    </row>
    <row r="161" spans="1:4" x14ac:dyDescent="0.25">
      <c r="A161" s="239">
        <v>46092.361250000002</v>
      </c>
      <c r="B161" s="214" t="s">
        <v>2505</v>
      </c>
      <c r="C161" s="214" t="s">
        <v>2192</v>
      </c>
      <c r="D161" s="214">
        <v>88</v>
      </c>
    </row>
    <row r="162" spans="1:4" x14ac:dyDescent="0.25">
      <c r="A162" s="239">
        <v>46092.361250000002</v>
      </c>
      <c r="B162" s="214" t="s">
        <v>2505</v>
      </c>
      <c r="C162" s="214" t="s">
        <v>2191</v>
      </c>
      <c r="D162" s="214">
        <v>87</v>
      </c>
    </row>
    <row r="163" spans="1:4" x14ac:dyDescent="0.25">
      <c r="A163" s="239">
        <v>46092.361250000002</v>
      </c>
      <c r="B163" s="214" t="s">
        <v>2505</v>
      </c>
      <c r="C163" s="214" t="s">
        <v>2190</v>
      </c>
      <c r="D163" s="214">
        <v>86</v>
      </c>
    </row>
    <row r="164" spans="1:4" x14ac:dyDescent="0.25">
      <c r="A164" s="239">
        <v>46092.361250000002</v>
      </c>
      <c r="B164" s="214" t="s">
        <v>2505</v>
      </c>
      <c r="C164" s="214" t="s">
        <v>2189</v>
      </c>
      <c r="D164" s="214">
        <v>85</v>
      </c>
    </row>
    <row r="165" spans="1:4" x14ac:dyDescent="0.25">
      <c r="A165" s="239">
        <v>46092.361250000002</v>
      </c>
      <c r="B165" s="214" t="s">
        <v>2505</v>
      </c>
      <c r="C165" s="214" t="s">
        <v>2188</v>
      </c>
      <c r="D165" s="214">
        <v>84</v>
      </c>
    </row>
    <row r="166" spans="1:4" x14ac:dyDescent="0.25">
      <c r="A166" s="239">
        <v>46092.361250000002</v>
      </c>
      <c r="B166" s="214" t="s">
        <v>2505</v>
      </c>
      <c r="C166" s="214" t="s">
        <v>2187</v>
      </c>
      <c r="D166" s="214">
        <v>83</v>
      </c>
    </row>
    <row r="167" spans="1:4" x14ac:dyDescent="0.25">
      <c r="A167" s="239">
        <v>46092.361250000002</v>
      </c>
      <c r="B167" s="214" t="s">
        <v>2505</v>
      </c>
      <c r="C167" s="214" t="s">
        <v>2186</v>
      </c>
      <c r="D167" s="214">
        <v>82</v>
      </c>
    </row>
    <row r="168" spans="1:4" x14ac:dyDescent="0.25">
      <c r="A168" s="239">
        <v>46092.361250000002</v>
      </c>
      <c r="B168" s="214" t="s">
        <v>2505</v>
      </c>
      <c r="C168" s="214" t="s">
        <v>2185</v>
      </c>
      <c r="D168" s="214">
        <v>81</v>
      </c>
    </row>
    <row r="169" spans="1:4" x14ac:dyDescent="0.25">
      <c r="A169" s="239">
        <v>46092.361250000002</v>
      </c>
      <c r="B169" s="214" t="s">
        <v>2505</v>
      </c>
      <c r="C169" s="214" t="s">
        <v>2184</v>
      </c>
      <c r="D169" s="214">
        <v>80</v>
      </c>
    </row>
    <row r="170" spans="1:4" x14ac:dyDescent="0.25">
      <c r="A170" s="239">
        <v>46092.361250000002</v>
      </c>
      <c r="B170" s="214" t="s">
        <v>2505</v>
      </c>
      <c r="C170" s="214" t="s">
        <v>2183</v>
      </c>
      <c r="D170" s="214">
        <v>79</v>
      </c>
    </row>
    <row r="171" spans="1:4" x14ac:dyDescent="0.25">
      <c r="A171" s="239">
        <v>46092.361250000002</v>
      </c>
      <c r="B171" s="214" t="s">
        <v>2505</v>
      </c>
      <c r="C171" s="214" t="s">
        <v>2182</v>
      </c>
      <c r="D171" s="214">
        <v>78</v>
      </c>
    </row>
    <row r="172" spans="1:4" x14ac:dyDescent="0.25">
      <c r="A172" s="239">
        <v>46092.361250000002</v>
      </c>
      <c r="B172" s="214" t="s">
        <v>2505</v>
      </c>
      <c r="C172" s="214" t="s">
        <v>2181</v>
      </c>
      <c r="D172" s="214">
        <v>77</v>
      </c>
    </row>
    <row r="173" spans="1:4" x14ac:dyDescent="0.25">
      <c r="A173" s="239">
        <v>46092.361250000002</v>
      </c>
      <c r="B173" s="214" t="s">
        <v>2505</v>
      </c>
      <c r="C173" s="214" t="s">
        <v>2180</v>
      </c>
      <c r="D173" s="214">
        <v>76</v>
      </c>
    </row>
    <row r="174" spans="1:4" x14ac:dyDescent="0.25">
      <c r="A174" s="239">
        <v>46092.361250000002</v>
      </c>
      <c r="B174" s="214" t="s">
        <v>2505</v>
      </c>
      <c r="C174" s="214" t="s">
        <v>2179</v>
      </c>
      <c r="D174" s="214">
        <v>75</v>
      </c>
    </row>
    <row r="175" spans="1:4" x14ac:dyDescent="0.25">
      <c r="A175" s="239">
        <v>46092.361250000002</v>
      </c>
      <c r="B175" s="214" t="s">
        <v>2505</v>
      </c>
      <c r="C175" s="214" t="s">
        <v>2178</v>
      </c>
      <c r="D175" s="214">
        <v>74</v>
      </c>
    </row>
    <row r="176" spans="1:4" x14ac:dyDescent="0.25">
      <c r="A176" s="239">
        <v>46092.361250000002</v>
      </c>
      <c r="B176" s="214" t="s">
        <v>2505</v>
      </c>
      <c r="C176" s="214" t="s">
        <v>2177</v>
      </c>
      <c r="D176" s="214">
        <v>73</v>
      </c>
    </row>
    <row r="177" spans="1:4" x14ac:dyDescent="0.25">
      <c r="A177" s="239">
        <v>46092.361250000002</v>
      </c>
      <c r="B177" s="214" t="s">
        <v>2505</v>
      </c>
      <c r="C177" s="214" t="s">
        <v>2176</v>
      </c>
      <c r="D177" s="214">
        <v>72</v>
      </c>
    </row>
    <row r="178" spans="1:4" x14ac:dyDescent="0.25">
      <c r="A178" s="239">
        <v>46092.361250000002</v>
      </c>
      <c r="B178" s="214" t="s">
        <v>2505</v>
      </c>
      <c r="C178" s="214" t="s">
        <v>2175</v>
      </c>
      <c r="D178" s="214">
        <v>71</v>
      </c>
    </row>
    <row r="179" spans="1:4" x14ac:dyDescent="0.25">
      <c r="A179" s="239">
        <v>46092.361250000002</v>
      </c>
      <c r="B179" s="214" t="s">
        <v>2505</v>
      </c>
      <c r="C179" s="214" t="s">
        <v>2174</v>
      </c>
      <c r="D179" s="214">
        <v>70</v>
      </c>
    </row>
    <row r="180" spans="1:4" x14ac:dyDescent="0.25">
      <c r="A180" s="239">
        <v>46092.361250000002</v>
      </c>
      <c r="B180" s="214" t="s">
        <v>2505</v>
      </c>
      <c r="C180" s="214" t="s">
        <v>2173</v>
      </c>
      <c r="D180" s="214">
        <v>69</v>
      </c>
    </row>
    <row r="181" spans="1:4" x14ac:dyDescent="0.25">
      <c r="A181" s="239">
        <v>46092.361250000002</v>
      </c>
      <c r="B181" s="214" t="s">
        <v>2505</v>
      </c>
      <c r="C181" s="214" t="s">
        <v>2172</v>
      </c>
      <c r="D181" s="214">
        <v>68</v>
      </c>
    </row>
    <row r="182" spans="1:4" x14ac:dyDescent="0.25">
      <c r="A182" s="239">
        <v>46092.361250000002</v>
      </c>
      <c r="B182" s="214" t="s">
        <v>2505</v>
      </c>
      <c r="C182" s="214" t="s">
        <v>2171</v>
      </c>
      <c r="D182" s="214">
        <v>67</v>
      </c>
    </row>
    <row r="183" spans="1:4" x14ac:dyDescent="0.25">
      <c r="A183" s="239">
        <v>46092.361250000002</v>
      </c>
      <c r="B183" s="214" t="s">
        <v>2505</v>
      </c>
      <c r="C183" s="214" t="s">
        <v>2170</v>
      </c>
      <c r="D183" s="214">
        <v>66</v>
      </c>
    </row>
    <row r="184" spans="1:4" x14ac:dyDescent="0.25">
      <c r="A184" s="239">
        <v>46092.361250000002</v>
      </c>
      <c r="B184" s="214" t="s">
        <v>2505</v>
      </c>
      <c r="C184" s="214" t="s">
        <v>2169</v>
      </c>
      <c r="D184" s="214">
        <v>65</v>
      </c>
    </row>
    <row r="185" spans="1:4" x14ac:dyDescent="0.25">
      <c r="A185" s="239">
        <v>46092.361250000002</v>
      </c>
      <c r="B185" s="214" t="s">
        <v>2505</v>
      </c>
      <c r="C185" s="214" t="s">
        <v>2168</v>
      </c>
      <c r="D185" s="214">
        <v>64</v>
      </c>
    </row>
    <row r="186" spans="1:4" x14ac:dyDescent="0.25">
      <c r="A186" s="239">
        <v>46092.361250000002</v>
      </c>
      <c r="B186" s="214" t="s">
        <v>2505</v>
      </c>
      <c r="C186" s="214" t="s">
        <v>2167</v>
      </c>
      <c r="D186" s="214">
        <v>63</v>
      </c>
    </row>
    <row r="187" spans="1:4" x14ac:dyDescent="0.25">
      <c r="A187" s="239">
        <v>46092.361250000002</v>
      </c>
      <c r="B187" s="214" t="s">
        <v>2505</v>
      </c>
      <c r="C187" s="214" t="s">
        <v>2166</v>
      </c>
      <c r="D187" s="214">
        <v>62</v>
      </c>
    </row>
    <row r="188" spans="1:4" x14ac:dyDescent="0.25">
      <c r="A188" s="239">
        <v>46092.361250000002</v>
      </c>
      <c r="B188" s="214" t="s">
        <v>2505</v>
      </c>
      <c r="C188" s="214" t="s">
        <v>2165</v>
      </c>
      <c r="D188" s="214">
        <v>61</v>
      </c>
    </row>
    <row r="189" spans="1:4" x14ac:dyDescent="0.25">
      <c r="A189" s="239">
        <v>46092.361250000002</v>
      </c>
      <c r="B189" s="214" t="s">
        <v>2505</v>
      </c>
      <c r="C189" s="214" t="s">
        <v>2164</v>
      </c>
      <c r="D189" s="214">
        <v>60</v>
      </c>
    </row>
    <row r="190" spans="1:4" x14ac:dyDescent="0.25">
      <c r="A190" s="239">
        <v>46092.361250000002</v>
      </c>
      <c r="B190" s="214" t="s">
        <v>2505</v>
      </c>
      <c r="C190" s="214" t="s">
        <v>2163</v>
      </c>
      <c r="D190" s="214">
        <v>59</v>
      </c>
    </row>
    <row r="191" spans="1:4" x14ac:dyDescent="0.25">
      <c r="A191" s="239">
        <v>46092.361250000002</v>
      </c>
      <c r="B191" s="214" t="s">
        <v>2505</v>
      </c>
      <c r="C191" s="214" t="s">
        <v>2162</v>
      </c>
      <c r="D191" s="214">
        <v>58</v>
      </c>
    </row>
    <row r="192" spans="1:4" x14ac:dyDescent="0.25">
      <c r="A192" s="239">
        <v>46092.361250000002</v>
      </c>
      <c r="B192" s="214" t="s">
        <v>2505</v>
      </c>
      <c r="C192" s="214" t="s">
        <v>2161</v>
      </c>
      <c r="D192" s="214">
        <v>57</v>
      </c>
    </row>
    <row r="193" spans="1:4" x14ac:dyDescent="0.25">
      <c r="A193" s="239">
        <v>46092.361250000002</v>
      </c>
      <c r="B193" s="214" t="s">
        <v>2505</v>
      </c>
      <c r="C193" s="214" t="s">
        <v>2160</v>
      </c>
      <c r="D193" s="214">
        <v>56</v>
      </c>
    </row>
    <row r="194" spans="1:4" x14ac:dyDescent="0.25">
      <c r="A194" s="239">
        <v>46092.361250000002</v>
      </c>
      <c r="B194" s="214" t="s">
        <v>2505</v>
      </c>
      <c r="C194" s="214" t="s">
        <v>2159</v>
      </c>
      <c r="D194" s="214">
        <v>55</v>
      </c>
    </row>
    <row r="195" spans="1:4" x14ac:dyDescent="0.25">
      <c r="A195" s="239">
        <v>46092.361250000002</v>
      </c>
      <c r="B195" s="214" t="s">
        <v>2505</v>
      </c>
      <c r="C195" s="214" t="s">
        <v>2158</v>
      </c>
      <c r="D195" s="214">
        <v>54</v>
      </c>
    </row>
    <row r="196" spans="1:4" x14ac:dyDescent="0.25">
      <c r="A196" s="239">
        <v>46092.361250000002</v>
      </c>
      <c r="B196" s="214" t="s">
        <v>2505</v>
      </c>
      <c r="C196" s="214" t="s">
        <v>2157</v>
      </c>
      <c r="D196" s="214">
        <v>53</v>
      </c>
    </row>
    <row r="197" spans="1:4" x14ac:dyDescent="0.25">
      <c r="A197" s="239">
        <v>46092.361250000002</v>
      </c>
      <c r="B197" s="214" t="s">
        <v>2505</v>
      </c>
      <c r="C197" s="214" t="s">
        <v>2156</v>
      </c>
      <c r="D197" s="214">
        <v>52</v>
      </c>
    </row>
    <row r="198" spans="1:4" x14ac:dyDescent="0.25">
      <c r="A198" s="239">
        <v>46092.361250000002</v>
      </c>
      <c r="B198" s="214" t="s">
        <v>2505</v>
      </c>
      <c r="C198" s="214" t="s">
        <v>2155</v>
      </c>
      <c r="D198" s="214">
        <v>51</v>
      </c>
    </row>
    <row r="199" spans="1:4" x14ac:dyDescent="0.25">
      <c r="A199" s="239">
        <v>46092.361250000002</v>
      </c>
      <c r="B199" s="214" t="s">
        <v>2505</v>
      </c>
      <c r="C199" s="214" t="s">
        <v>2154</v>
      </c>
      <c r="D199" s="214">
        <v>50</v>
      </c>
    </row>
    <row r="200" spans="1:4" x14ac:dyDescent="0.25">
      <c r="A200" s="239">
        <v>46092.361250000002</v>
      </c>
      <c r="B200" s="214" t="s">
        <v>2505</v>
      </c>
      <c r="C200" s="214" t="s">
        <v>2153</v>
      </c>
      <c r="D200" s="214">
        <v>49</v>
      </c>
    </row>
    <row r="201" spans="1:4" x14ac:dyDescent="0.25">
      <c r="A201" s="239">
        <v>46092.361250000002</v>
      </c>
      <c r="B201" s="214" t="s">
        <v>2505</v>
      </c>
      <c r="C201" s="214" t="s">
        <v>2152</v>
      </c>
      <c r="D201" s="214">
        <v>48</v>
      </c>
    </row>
    <row r="202" spans="1:4" x14ac:dyDescent="0.25">
      <c r="A202" s="239">
        <v>46092.361250000002</v>
      </c>
      <c r="B202" s="214" t="s">
        <v>2505</v>
      </c>
      <c r="C202" s="214" t="s">
        <v>2151</v>
      </c>
      <c r="D202" s="214">
        <v>47</v>
      </c>
    </row>
    <row r="203" spans="1:4" x14ac:dyDescent="0.25">
      <c r="A203" s="239">
        <v>46092.361250000002</v>
      </c>
      <c r="B203" s="214" t="s">
        <v>2505</v>
      </c>
      <c r="C203" s="214" t="s">
        <v>2150</v>
      </c>
      <c r="D203" s="214">
        <v>46</v>
      </c>
    </row>
    <row r="204" spans="1:4" x14ac:dyDescent="0.25">
      <c r="A204" s="239">
        <v>46092.361250000002</v>
      </c>
      <c r="B204" s="214" t="s">
        <v>2505</v>
      </c>
      <c r="C204" s="214" t="s">
        <v>2149</v>
      </c>
      <c r="D204" s="214">
        <v>45</v>
      </c>
    </row>
    <row r="205" spans="1:4" x14ac:dyDescent="0.25">
      <c r="A205" s="239">
        <v>46092.361250000002</v>
      </c>
      <c r="B205" s="214" t="s">
        <v>2505</v>
      </c>
      <c r="C205" s="214" t="s">
        <v>2148</v>
      </c>
      <c r="D205" s="214">
        <v>44</v>
      </c>
    </row>
    <row r="206" spans="1:4" x14ac:dyDescent="0.25">
      <c r="A206" s="239">
        <v>46092.361250000002</v>
      </c>
      <c r="B206" s="214" t="s">
        <v>2505</v>
      </c>
      <c r="C206" s="214" t="s">
        <v>2147</v>
      </c>
      <c r="D206" s="214">
        <v>43</v>
      </c>
    </row>
    <row r="207" spans="1:4" x14ac:dyDescent="0.25">
      <c r="A207" s="239">
        <v>46092.361250000002</v>
      </c>
      <c r="B207" s="214" t="s">
        <v>2505</v>
      </c>
      <c r="C207" s="214" t="s">
        <v>2146</v>
      </c>
      <c r="D207" s="214">
        <v>42</v>
      </c>
    </row>
    <row r="208" spans="1:4" x14ac:dyDescent="0.25">
      <c r="A208" s="239">
        <v>46092.361250000002</v>
      </c>
      <c r="B208" s="214" t="s">
        <v>2505</v>
      </c>
      <c r="C208" s="214" t="s">
        <v>2145</v>
      </c>
      <c r="D208" s="214">
        <v>41</v>
      </c>
    </row>
    <row r="209" spans="1:4" x14ac:dyDescent="0.25">
      <c r="A209" s="239">
        <v>46092.361250000002</v>
      </c>
      <c r="B209" s="214" t="s">
        <v>2505</v>
      </c>
      <c r="C209" s="214" t="s">
        <v>2144</v>
      </c>
      <c r="D209" s="214">
        <v>40</v>
      </c>
    </row>
    <row r="210" spans="1:4" x14ac:dyDescent="0.25">
      <c r="A210" s="239">
        <v>46092.361250000002</v>
      </c>
      <c r="B210" s="214" t="s">
        <v>2505</v>
      </c>
      <c r="C210" s="214" t="s">
        <v>2143</v>
      </c>
      <c r="D210" s="214">
        <v>39</v>
      </c>
    </row>
    <row r="211" spans="1:4" x14ac:dyDescent="0.25">
      <c r="A211" s="239">
        <v>46092.361250000002</v>
      </c>
      <c r="B211" s="214" t="s">
        <v>2505</v>
      </c>
      <c r="C211" s="214" t="s">
        <v>2142</v>
      </c>
      <c r="D211" s="214">
        <v>38</v>
      </c>
    </row>
    <row r="212" spans="1:4" x14ac:dyDescent="0.25">
      <c r="A212" s="239">
        <v>46092.361250000002</v>
      </c>
      <c r="B212" s="214" t="s">
        <v>2505</v>
      </c>
      <c r="C212" s="214" t="s">
        <v>2141</v>
      </c>
      <c r="D212" s="214">
        <v>37</v>
      </c>
    </row>
    <row r="213" spans="1:4" x14ac:dyDescent="0.25">
      <c r="A213" s="239">
        <v>46092.361250000002</v>
      </c>
      <c r="B213" s="214" t="s">
        <v>2505</v>
      </c>
      <c r="C213" s="214" t="s">
        <v>2140</v>
      </c>
      <c r="D213" s="214">
        <v>36</v>
      </c>
    </row>
    <row r="214" spans="1:4" x14ac:dyDescent="0.25">
      <c r="A214" s="239">
        <v>46092.361250000002</v>
      </c>
      <c r="B214" s="214" t="s">
        <v>2505</v>
      </c>
      <c r="C214" s="214" t="s">
        <v>2139</v>
      </c>
      <c r="D214" s="214">
        <v>35</v>
      </c>
    </row>
    <row r="215" spans="1:4" x14ac:dyDescent="0.25">
      <c r="A215" s="239">
        <v>46092.361250000002</v>
      </c>
      <c r="B215" s="214" t="s">
        <v>2505</v>
      </c>
      <c r="C215" s="214" t="s">
        <v>2138</v>
      </c>
      <c r="D215" s="214">
        <v>34</v>
      </c>
    </row>
    <row r="216" spans="1:4" x14ac:dyDescent="0.25">
      <c r="A216" s="239">
        <v>46092.361250000002</v>
      </c>
      <c r="B216" s="214" t="s">
        <v>2505</v>
      </c>
      <c r="C216" s="214" t="s">
        <v>2137</v>
      </c>
      <c r="D216" s="214">
        <v>33</v>
      </c>
    </row>
    <row r="217" spans="1:4" x14ac:dyDescent="0.25">
      <c r="A217" s="239">
        <v>46092.361250000002</v>
      </c>
      <c r="B217" s="214" t="s">
        <v>2505</v>
      </c>
      <c r="C217" s="214" t="s">
        <v>2136</v>
      </c>
      <c r="D217" s="214">
        <v>32</v>
      </c>
    </row>
    <row r="218" spans="1:4" x14ac:dyDescent="0.25">
      <c r="A218" s="239">
        <v>46092.361250000002</v>
      </c>
      <c r="B218" s="214" t="s">
        <v>2505</v>
      </c>
      <c r="C218" s="214" t="s">
        <v>2135</v>
      </c>
      <c r="D218" s="214">
        <v>31</v>
      </c>
    </row>
    <row r="219" spans="1:4" x14ac:dyDescent="0.25">
      <c r="A219" s="239">
        <v>46092.361250000002</v>
      </c>
      <c r="B219" s="214" t="s">
        <v>2505</v>
      </c>
      <c r="C219" s="214" t="s">
        <v>2134</v>
      </c>
      <c r="D219" s="214">
        <v>30</v>
      </c>
    </row>
    <row r="220" spans="1:4" x14ac:dyDescent="0.25">
      <c r="A220" s="239">
        <v>46092.361250000002</v>
      </c>
      <c r="B220" s="214" t="s">
        <v>2505</v>
      </c>
      <c r="C220" s="214" t="s">
        <v>2133</v>
      </c>
      <c r="D220" s="214">
        <v>29</v>
      </c>
    </row>
    <row r="221" spans="1:4" x14ac:dyDescent="0.25">
      <c r="A221" s="239">
        <v>46092.361250000002</v>
      </c>
      <c r="B221" s="214" t="s">
        <v>2505</v>
      </c>
      <c r="C221" s="214" t="s">
        <v>2132</v>
      </c>
      <c r="D221" s="214">
        <v>28</v>
      </c>
    </row>
    <row r="222" spans="1:4" x14ac:dyDescent="0.25">
      <c r="A222" s="239">
        <v>46092.361250000002</v>
      </c>
      <c r="B222" s="214" t="s">
        <v>2505</v>
      </c>
      <c r="C222" s="214" t="s">
        <v>2131</v>
      </c>
      <c r="D222" s="214">
        <v>27</v>
      </c>
    </row>
    <row r="223" spans="1:4" x14ac:dyDescent="0.25">
      <c r="A223" s="239">
        <v>46092.361250000002</v>
      </c>
      <c r="B223" s="214" t="s">
        <v>2505</v>
      </c>
      <c r="C223" s="214" t="s">
        <v>2130</v>
      </c>
      <c r="D223" s="214">
        <v>26</v>
      </c>
    </row>
    <row r="224" spans="1:4" x14ac:dyDescent="0.25">
      <c r="A224" s="239">
        <v>46092.361250000002</v>
      </c>
      <c r="B224" s="214" t="s">
        <v>2505</v>
      </c>
      <c r="C224" s="214" t="s">
        <v>2129</v>
      </c>
      <c r="D224" s="214">
        <v>25</v>
      </c>
    </row>
    <row r="225" spans="1:4" x14ac:dyDescent="0.25">
      <c r="A225" s="239">
        <v>46092.361250000002</v>
      </c>
      <c r="B225" s="214" t="s">
        <v>2505</v>
      </c>
      <c r="C225" s="214" t="s">
        <v>2128</v>
      </c>
      <c r="D225" s="214">
        <v>24</v>
      </c>
    </row>
    <row r="226" spans="1:4" x14ac:dyDescent="0.25">
      <c r="A226" s="239">
        <v>46092.361250000002</v>
      </c>
      <c r="B226" s="214" t="s">
        <v>2505</v>
      </c>
      <c r="C226" s="214" t="s">
        <v>2127</v>
      </c>
      <c r="D226" s="214">
        <v>23</v>
      </c>
    </row>
    <row r="227" spans="1:4" x14ac:dyDescent="0.25">
      <c r="A227" s="239">
        <v>46092.361250000002</v>
      </c>
      <c r="B227" s="214" t="s">
        <v>2505</v>
      </c>
      <c r="C227" s="214" t="s">
        <v>2126</v>
      </c>
      <c r="D227" s="214">
        <v>22</v>
      </c>
    </row>
    <row r="228" spans="1:4" x14ac:dyDescent="0.25">
      <c r="A228" s="239">
        <v>46092.361250000002</v>
      </c>
      <c r="B228" s="214" t="s">
        <v>2505</v>
      </c>
      <c r="C228" s="214" t="s">
        <v>2125</v>
      </c>
      <c r="D228" s="214">
        <v>21</v>
      </c>
    </row>
    <row r="229" spans="1:4" x14ac:dyDescent="0.25">
      <c r="A229" s="239">
        <v>46092.361238425925</v>
      </c>
      <c r="B229" s="214" t="s">
        <v>2505</v>
      </c>
      <c r="C229" s="214" t="s">
        <v>2450</v>
      </c>
      <c r="D229" s="214">
        <v>346</v>
      </c>
    </row>
    <row r="230" spans="1:4" x14ac:dyDescent="0.25">
      <c r="A230" s="239">
        <v>46092.361238425925</v>
      </c>
      <c r="B230" s="214" t="s">
        <v>2505</v>
      </c>
      <c r="C230" s="214" t="s">
        <v>2449</v>
      </c>
      <c r="D230" s="214">
        <v>345</v>
      </c>
    </row>
    <row r="231" spans="1:4" x14ac:dyDescent="0.25">
      <c r="A231" s="239">
        <v>46092.361238425925</v>
      </c>
      <c r="B231" s="214" t="s">
        <v>2505</v>
      </c>
      <c r="C231" s="214" t="s">
        <v>2448</v>
      </c>
      <c r="D231" s="214">
        <v>344</v>
      </c>
    </row>
    <row r="232" spans="1:4" x14ac:dyDescent="0.25">
      <c r="A232" s="239">
        <v>46092.361238425925</v>
      </c>
      <c r="B232" s="214" t="s">
        <v>2505</v>
      </c>
      <c r="C232" s="214" t="s">
        <v>2447</v>
      </c>
      <c r="D232" s="214">
        <v>343</v>
      </c>
    </row>
    <row r="233" spans="1:4" x14ac:dyDescent="0.25">
      <c r="A233" s="239">
        <v>46092.361238425925</v>
      </c>
      <c r="B233" s="214" t="s">
        <v>2505</v>
      </c>
      <c r="C233" s="214" t="s">
        <v>2446</v>
      </c>
      <c r="D233" s="214">
        <v>342</v>
      </c>
    </row>
    <row r="234" spans="1:4" x14ac:dyDescent="0.25">
      <c r="A234" s="239">
        <v>46092.361238425925</v>
      </c>
      <c r="B234" s="214" t="s">
        <v>2505</v>
      </c>
      <c r="C234" s="214" t="s">
        <v>2445</v>
      </c>
      <c r="D234" s="214">
        <v>341</v>
      </c>
    </row>
    <row r="235" spans="1:4" x14ac:dyDescent="0.25">
      <c r="A235" s="239">
        <v>46092.361238425925</v>
      </c>
      <c r="B235" s="214" t="s">
        <v>2505</v>
      </c>
      <c r="C235" s="214" t="s">
        <v>2444</v>
      </c>
      <c r="D235" s="214">
        <v>340</v>
      </c>
    </row>
    <row r="236" spans="1:4" x14ac:dyDescent="0.25">
      <c r="A236" s="239">
        <v>46092.361238425925</v>
      </c>
      <c r="B236" s="214" t="s">
        <v>2505</v>
      </c>
      <c r="C236" s="214" t="s">
        <v>2443</v>
      </c>
      <c r="D236" s="214">
        <v>339</v>
      </c>
    </row>
    <row r="237" spans="1:4" x14ac:dyDescent="0.25">
      <c r="A237" s="239">
        <v>46092.361238425925</v>
      </c>
      <c r="B237" s="214" t="s">
        <v>2505</v>
      </c>
      <c r="C237" s="214" t="s">
        <v>2442</v>
      </c>
      <c r="D237" s="214">
        <v>338</v>
      </c>
    </row>
    <row r="238" spans="1:4" x14ac:dyDescent="0.25">
      <c r="A238" s="239">
        <v>46092.361238425925</v>
      </c>
      <c r="B238" s="214" t="s">
        <v>2505</v>
      </c>
      <c r="C238" s="214" t="s">
        <v>2441</v>
      </c>
      <c r="D238" s="214">
        <v>337</v>
      </c>
    </row>
    <row r="239" spans="1:4" x14ac:dyDescent="0.25">
      <c r="A239" s="239">
        <v>46092.361238425925</v>
      </c>
      <c r="B239" s="214" t="s">
        <v>2505</v>
      </c>
      <c r="C239" s="214" t="s">
        <v>2440</v>
      </c>
      <c r="D239" s="214">
        <v>336</v>
      </c>
    </row>
    <row r="240" spans="1:4" x14ac:dyDescent="0.25">
      <c r="A240" s="239">
        <v>46092.361238425925</v>
      </c>
      <c r="B240" s="214" t="s">
        <v>2505</v>
      </c>
      <c r="C240" s="214" t="s">
        <v>2439</v>
      </c>
      <c r="D240" s="214">
        <v>335</v>
      </c>
    </row>
    <row r="241" spans="1:4" x14ac:dyDescent="0.25">
      <c r="A241" s="239">
        <v>46092.361238425925</v>
      </c>
      <c r="B241" s="214" t="s">
        <v>2505</v>
      </c>
      <c r="C241" s="214" t="s">
        <v>2438</v>
      </c>
      <c r="D241" s="214">
        <v>334</v>
      </c>
    </row>
    <row r="242" spans="1:4" x14ac:dyDescent="0.25">
      <c r="A242" s="239">
        <v>46092.361238425925</v>
      </c>
      <c r="B242" s="214" t="s">
        <v>2505</v>
      </c>
      <c r="C242" s="214" t="s">
        <v>2437</v>
      </c>
      <c r="D242" s="214">
        <v>333</v>
      </c>
    </row>
    <row r="243" spans="1:4" x14ac:dyDescent="0.25">
      <c r="A243" s="239">
        <v>46092.361238425925</v>
      </c>
      <c r="B243" s="214" t="s">
        <v>2505</v>
      </c>
      <c r="C243" s="214" t="s">
        <v>2436</v>
      </c>
      <c r="D243" s="214">
        <v>332</v>
      </c>
    </row>
    <row r="244" spans="1:4" x14ac:dyDescent="0.25">
      <c r="A244" s="239">
        <v>46092.361238425925</v>
      </c>
      <c r="B244" s="214" t="s">
        <v>2505</v>
      </c>
      <c r="C244" s="214" t="s">
        <v>2435</v>
      </c>
      <c r="D244" s="214">
        <v>331</v>
      </c>
    </row>
    <row r="245" spans="1:4" x14ac:dyDescent="0.25">
      <c r="A245" s="239">
        <v>46092.361238425925</v>
      </c>
      <c r="B245" s="214" t="s">
        <v>2505</v>
      </c>
      <c r="C245" s="214" t="s">
        <v>2434</v>
      </c>
      <c r="D245" s="214">
        <v>330</v>
      </c>
    </row>
    <row r="246" spans="1:4" x14ac:dyDescent="0.25">
      <c r="A246" s="239">
        <v>46092.361238425925</v>
      </c>
      <c r="B246" s="214" t="s">
        <v>2505</v>
      </c>
      <c r="C246" s="214" t="s">
        <v>2433</v>
      </c>
      <c r="D246" s="214">
        <v>329</v>
      </c>
    </row>
    <row r="247" spans="1:4" x14ac:dyDescent="0.25">
      <c r="A247" s="239">
        <v>46092.361238425925</v>
      </c>
      <c r="B247" s="214" t="s">
        <v>2505</v>
      </c>
      <c r="C247" s="214" t="s">
        <v>2432</v>
      </c>
      <c r="D247" s="214">
        <v>328</v>
      </c>
    </row>
    <row r="248" spans="1:4" x14ac:dyDescent="0.25">
      <c r="A248" s="239">
        <v>46092.361238425925</v>
      </c>
      <c r="B248" s="214" t="s">
        <v>2505</v>
      </c>
      <c r="C248" s="214" t="s">
        <v>2431</v>
      </c>
      <c r="D248" s="214">
        <v>327</v>
      </c>
    </row>
    <row r="249" spans="1:4" x14ac:dyDescent="0.25">
      <c r="A249" s="239">
        <v>46092.361238425925</v>
      </c>
      <c r="B249" s="214" t="s">
        <v>2505</v>
      </c>
      <c r="C249" s="214" t="s">
        <v>2430</v>
      </c>
      <c r="D249" s="214">
        <v>326</v>
      </c>
    </row>
    <row r="250" spans="1:4" x14ac:dyDescent="0.25">
      <c r="A250" s="239">
        <v>46092.361238425925</v>
      </c>
      <c r="B250" s="214" t="s">
        <v>2505</v>
      </c>
      <c r="C250" s="214" t="s">
        <v>2429</v>
      </c>
      <c r="D250" s="214">
        <v>325</v>
      </c>
    </row>
    <row r="251" spans="1:4" x14ac:dyDescent="0.25">
      <c r="A251" s="239">
        <v>46092.361238425925</v>
      </c>
      <c r="B251" s="214" t="s">
        <v>2505</v>
      </c>
      <c r="C251" s="214" t="s">
        <v>2428</v>
      </c>
      <c r="D251" s="214">
        <v>324</v>
      </c>
    </row>
    <row r="252" spans="1:4" x14ac:dyDescent="0.25">
      <c r="A252" s="239">
        <v>46092.361238425925</v>
      </c>
      <c r="B252" s="214" t="s">
        <v>2505</v>
      </c>
      <c r="C252" s="214" t="s">
        <v>2427</v>
      </c>
      <c r="D252" s="214">
        <v>323</v>
      </c>
    </row>
    <row r="253" spans="1:4" x14ac:dyDescent="0.25">
      <c r="A253" s="239">
        <v>46092.361238425925</v>
      </c>
      <c r="B253" s="214" t="s">
        <v>2505</v>
      </c>
      <c r="C253" s="214" t="s">
        <v>2426</v>
      </c>
      <c r="D253" s="214">
        <v>322</v>
      </c>
    </row>
    <row r="254" spans="1:4" x14ac:dyDescent="0.25">
      <c r="A254" s="239">
        <v>46092.361238425925</v>
      </c>
      <c r="B254" s="214" t="s">
        <v>2505</v>
      </c>
      <c r="C254" s="214" t="s">
        <v>2425</v>
      </c>
      <c r="D254" s="214">
        <v>321</v>
      </c>
    </row>
    <row r="255" spans="1:4" x14ac:dyDescent="0.25">
      <c r="A255" s="239">
        <v>46092.361238425925</v>
      </c>
      <c r="B255" s="214" t="s">
        <v>2505</v>
      </c>
      <c r="C255" s="214" t="s">
        <v>2424</v>
      </c>
      <c r="D255" s="214">
        <v>320</v>
      </c>
    </row>
    <row r="256" spans="1:4" x14ac:dyDescent="0.25">
      <c r="A256" s="239">
        <v>46092.361238425925</v>
      </c>
      <c r="B256" s="214" t="s">
        <v>2505</v>
      </c>
      <c r="C256" s="214" t="s">
        <v>2423</v>
      </c>
      <c r="D256" s="214">
        <v>319</v>
      </c>
    </row>
    <row r="257" spans="1:4" x14ac:dyDescent="0.25">
      <c r="A257" s="239">
        <v>46092.361238425925</v>
      </c>
      <c r="B257" s="214" t="s">
        <v>2505</v>
      </c>
      <c r="C257" s="214" t="s">
        <v>2422</v>
      </c>
      <c r="D257" s="214">
        <v>318</v>
      </c>
    </row>
    <row r="258" spans="1:4" x14ac:dyDescent="0.25">
      <c r="A258" s="239">
        <v>46092.361238425925</v>
      </c>
      <c r="B258" s="214" t="s">
        <v>2505</v>
      </c>
      <c r="C258" s="214" t="s">
        <v>2421</v>
      </c>
      <c r="D258" s="214">
        <v>317</v>
      </c>
    </row>
    <row r="259" spans="1:4" x14ac:dyDescent="0.25">
      <c r="A259" s="239">
        <v>46092.361238425925</v>
      </c>
      <c r="B259" s="214" t="s">
        <v>2505</v>
      </c>
      <c r="C259" s="214" t="s">
        <v>2420</v>
      </c>
      <c r="D259" s="214">
        <v>316</v>
      </c>
    </row>
    <row r="260" spans="1:4" x14ac:dyDescent="0.25">
      <c r="A260" s="239">
        <v>46092.361238425925</v>
      </c>
      <c r="B260" s="214" t="s">
        <v>2505</v>
      </c>
      <c r="C260" s="214" t="s">
        <v>2419</v>
      </c>
      <c r="D260" s="214">
        <v>315</v>
      </c>
    </row>
    <row r="261" spans="1:4" x14ac:dyDescent="0.25">
      <c r="A261" s="239">
        <v>46092.361238425925</v>
      </c>
      <c r="B261" s="214" t="s">
        <v>2505</v>
      </c>
      <c r="C261" s="214" t="s">
        <v>2418</v>
      </c>
      <c r="D261" s="214">
        <v>314</v>
      </c>
    </row>
    <row r="262" spans="1:4" x14ac:dyDescent="0.25">
      <c r="A262" s="239">
        <v>46092.361238425925</v>
      </c>
      <c r="B262" s="214" t="s">
        <v>2505</v>
      </c>
      <c r="C262" s="214" t="s">
        <v>2417</v>
      </c>
      <c r="D262" s="214">
        <v>313</v>
      </c>
    </row>
    <row r="263" spans="1:4" x14ac:dyDescent="0.25">
      <c r="A263" s="239">
        <v>46092.361238425925</v>
      </c>
      <c r="B263" s="214" t="s">
        <v>2505</v>
      </c>
      <c r="C263" s="214" t="s">
        <v>2416</v>
      </c>
      <c r="D263" s="214">
        <v>312</v>
      </c>
    </row>
    <row r="264" spans="1:4" x14ac:dyDescent="0.25">
      <c r="A264" s="239">
        <v>46092.361238425925</v>
      </c>
      <c r="B264" s="214" t="s">
        <v>2505</v>
      </c>
      <c r="C264" s="214" t="s">
        <v>2415</v>
      </c>
      <c r="D264" s="214">
        <v>311</v>
      </c>
    </row>
    <row r="265" spans="1:4" x14ac:dyDescent="0.25">
      <c r="A265" s="239">
        <v>46092.361238425925</v>
      </c>
      <c r="B265" s="214" t="s">
        <v>2505</v>
      </c>
      <c r="C265" s="214" t="s">
        <v>2414</v>
      </c>
      <c r="D265" s="214">
        <v>310</v>
      </c>
    </row>
    <row r="266" spans="1:4" x14ac:dyDescent="0.25">
      <c r="A266" s="239">
        <v>46092.361238425925</v>
      </c>
      <c r="B266" s="214" t="s">
        <v>2505</v>
      </c>
      <c r="C266" s="214" t="s">
        <v>2413</v>
      </c>
      <c r="D266" s="214">
        <v>309</v>
      </c>
    </row>
    <row r="267" spans="1:4" x14ac:dyDescent="0.25">
      <c r="A267" s="239">
        <v>46092.361238425925</v>
      </c>
      <c r="B267" s="214" t="s">
        <v>2505</v>
      </c>
      <c r="C267" s="214" t="s">
        <v>2412</v>
      </c>
      <c r="D267" s="214">
        <v>308</v>
      </c>
    </row>
    <row r="268" spans="1:4" x14ac:dyDescent="0.25">
      <c r="A268" s="239">
        <v>46092.361238425925</v>
      </c>
      <c r="B268" s="214" t="s">
        <v>2505</v>
      </c>
      <c r="C268" s="214" t="s">
        <v>2411</v>
      </c>
      <c r="D268" s="214">
        <v>307</v>
      </c>
    </row>
    <row r="269" spans="1:4" x14ac:dyDescent="0.25">
      <c r="A269" s="239">
        <v>46092.361238425925</v>
      </c>
      <c r="B269" s="214" t="s">
        <v>2505</v>
      </c>
      <c r="C269" s="214" t="s">
        <v>2410</v>
      </c>
      <c r="D269" s="214">
        <v>306</v>
      </c>
    </row>
    <row r="270" spans="1:4" x14ac:dyDescent="0.25">
      <c r="A270" s="239">
        <v>46092.361238425925</v>
      </c>
      <c r="B270" s="214" t="s">
        <v>2505</v>
      </c>
      <c r="C270" s="214" t="s">
        <v>2409</v>
      </c>
      <c r="D270" s="214">
        <v>305</v>
      </c>
    </row>
    <row r="271" spans="1:4" x14ac:dyDescent="0.25">
      <c r="A271" s="239">
        <v>46092.361238425925</v>
      </c>
      <c r="B271" s="214" t="s">
        <v>2505</v>
      </c>
      <c r="C271" s="214" t="s">
        <v>2408</v>
      </c>
      <c r="D271" s="214">
        <v>304</v>
      </c>
    </row>
    <row r="272" spans="1:4" x14ac:dyDescent="0.25">
      <c r="A272" s="239">
        <v>46092.361238425925</v>
      </c>
      <c r="B272" s="214" t="s">
        <v>2505</v>
      </c>
      <c r="C272" s="214" t="s">
        <v>2407</v>
      </c>
      <c r="D272" s="214">
        <v>303</v>
      </c>
    </row>
    <row r="273" spans="1:4" x14ac:dyDescent="0.25">
      <c r="A273" s="239">
        <v>46092.361238425925</v>
      </c>
      <c r="B273" s="214" t="s">
        <v>2505</v>
      </c>
      <c r="C273" s="214" t="s">
        <v>2406</v>
      </c>
      <c r="D273" s="214">
        <v>302</v>
      </c>
    </row>
    <row r="274" spans="1:4" x14ac:dyDescent="0.25">
      <c r="A274" s="239">
        <v>46092.361238425925</v>
      </c>
      <c r="B274" s="214" t="s">
        <v>2505</v>
      </c>
      <c r="C274" s="214" t="s">
        <v>2405</v>
      </c>
      <c r="D274" s="214">
        <v>301</v>
      </c>
    </row>
    <row r="275" spans="1:4" x14ac:dyDescent="0.25">
      <c r="A275" s="239">
        <v>46092.361238425925</v>
      </c>
      <c r="B275" s="214" t="s">
        <v>2505</v>
      </c>
      <c r="C275" s="214" t="s">
        <v>2404</v>
      </c>
      <c r="D275" s="214">
        <v>300</v>
      </c>
    </row>
    <row r="276" spans="1:4" x14ac:dyDescent="0.25">
      <c r="A276" s="239">
        <v>46092.361238425925</v>
      </c>
      <c r="B276" s="214" t="s">
        <v>2505</v>
      </c>
      <c r="C276" s="214" t="s">
        <v>2403</v>
      </c>
      <c r="D276" s="214">
        <v>299</v>
      </c>
    </row>
    <row r="277" spans="1:4" x14ac:dyDescent="0.25">
      <c r="A277" s="239">
        <v>46092.361238425925</v>
      </c>
      <c r="B277" s="214" t="s">
        <v>2505</v>
      </c>
      <c r="C277" s="214" t="s">
        <v>2402</v>
      </c>
      <c r="D277" s="214">
        <v>298</v>
      </c>
    </row>
    <row r="278" spans="1:4" x14ac:dyDescent="0.25">
      <c r="A278" s="239">
        <v>46092.361238425925</v>
      </c>
      <c r="B278" s="214" t="s">
        <v>2505</v>
      </c>
      <c r="C278" s="214" t="s">
        <v>2401</v>
      </c>
      <c r="D278" s="214">
        <v>297</v>
      </c>
    </row>
    <row r="279" spans="1:4" x14ac:dyDescent="0.25">
      <c r="A279" s="239">
        <v>46092.361238425925</v>
      </c>
      <c r="B279" s="214" t="s">
        <v>2505</v>
      </c>
      <c r="C279" s="214" t="s">
        <v>2400</v>
      </c>
      <c r="D279" s="214">
        <v>296</v>
      </c>
    </row>
    <row r="280" spans="1:4" x14ac:dyDescent="0.25">
      <c r="A280" s="239">
        <v>46092.361238425925</v>
      </c>
      <c r="B280" s="214" t="s">
        <v>2505</v>
      </c>
      <c r="C280" s="214" t="s">
        <v>2399</v>
      </c>
      <c r="D280" s="214">
        <v>295</v>
      </c>
    </row>
    <row r="281" spans="1:4" x14ac:dyDescent="0.25">
      <c r="A281" s="239">
        <v>46092.361238425925</v>
      </c>
      <c r="B281" s="214" t="s">
        <v>2505</v>
      </c>
      <c r="C281" s="214" t="s">
        <v>2398</v>
      </c>
      <c r="D281" s="214">
        <v>294</v>
      </c>
    </row>
    <row r="282" spans="1:4" x14ac:dyDescent="0.25">
      <c r="A282" s="239">
        <v>46092.361238425925</v>
      </c>
      <c r="B282" s="214" t="s">
        <v>2505</v>
      </c>
      <c r="C282" s="214" t="s">
        <v>2397</v>
      </c>
      <c r="D282" s="214">
        <v>293</v>
      </c>
    </row>
    <row r="283" spans="1:4" x14ac:dyDescent="0.25">
      <c r="A283" s="239">
        <v>46092.361238425925</v>
      </c>
      <c r="B283" s="214" t="s">
        <v>2505</v>
      </c>
      <c r="C283" s="214" t="s">
        <v>2396</v>
      </c>
      <c r="D283" s="214">
        <v>292</v>
      </c>
    </row>
    <row r="284" spans="1:4" x14ac:dyDescent="0.25">
      <c r="A284" s="239">
        <v>46092.361238425925</v>
      </c>
      <c r="B284" s="214" t="s">
        <v>2505</v>
      </c>
      <c r="C284" s="214" t="s">
        <v>2395</v>
      </c>
      <c r="D284" s="214">
        <v>291</v>
      </c>
    </row>
    <row r="285" spans="1:4" x14ac:dyDescent="0.25">
      <c r="A285" s="239">
        <v>46092.361238425925</v>
      </c>
      <c r="B285" s="214" t="s">
        <v>2505</v>
      </c>
      <c r="C285" s="214" t="s">
        <v>2394</v>
      </c>
      <c r="D285" s="214">
        <v>290</v>
      </c>
    </row>
    <row r="286" spans="1:4" x14ac:dyDescent="0.25">
      <c r="A286" s="239">
        <v>46092.361238425925</v>
      </c>
      <c r="B286" s="214" t="s">
        <v>2505</v>
      </c>
      <c r="C286" s="214" t="s">
        <v>2393</v>
      </c>
      <c r="D286" s="214">
        <v>289</v>
      </c>
    </row>
    <row r="287" spans="1:4" x14ac:dyDescent="0.25">
      <c r="A287" s="239">
        <v>46092.361238425925</v>
      </c>
      <c r="B287" s="214" t="s">
        <v>2505</v>
      </c>
      <c r="C287" s="214" t="s">
        <v>2392</v>
      </c>
      <c r="D287" s="214">
        <v>288</v>
      </c>
    </row>
    <row r="288" spans="1:4" x14ac:dyDescent="0.25">
      <c r="A288" s="239">
        <v>46092.361238425925</v>
      </c>
      <c r="B288" s="214" t="s">
        <v>2505</v>
      </c>
      <c r="C288" s="214" t="s">
        <v>2391</v>
      </c>
      <c r="D288" s="214">
        <v>287</v>
      </c>
    </row>
    <row r="289" spans="1:4" x14ac:dyDescent="0.25">
      <c r="A289" s="239">
        <v>46092.361238425925</v>
      </c>
      <c r="B289" s="214" t="s">
        <v>2505</v>
      </c>
      <c r="C289" s="214" t="s">
        <v>2390</v>
      </c>
      <c r="D289" s="214">
        <v>286</v>
      </c>
    </row>
    <row r="290" spans="1:4" x14ac:dyDescent="0.25">
      <c r="A290" s="239">
        <v>46092.361238425925</v>
      </c>
      <c r="B290" s="214" t="s">
        <v>2505</v>
      </c>
      <c r="C290" s="214" t="s">
        <v>2389</v>
      </c>
      <c r="D290" s="214">
        <v>285</v>
      </c>
    </row>
    <row r="291" spans="1:4" x14ac:dyDescent="0.25">
      <c r="A291" s="239">
        <v>46092.361238425925</v>
      </c>
      <c r="B291" s="214" t="s">
        <v>2505</v>
      </c>
      <c r="C291" s="214" t="s">
        <v>2388</v>
      </c>
      <c r="D291" s="214">
        <v>284</v>
      </c>
    </row>
    <row r="292" spans="1:4" x14ac:dyDescent="0.25">
      <c r="A292" s="239">
        <v>46092.361238425925</v>
      </c>
      <c r="B292" s="214" t="s">
        <v>2505</v>
      </c>
      <c r="C292" s="214" t="s">
        <v>2387</v>
      </c>
      <c r="D292" s="214">
        <v>283</v>
      </c>
    </row>
    <row r="293" spans="1:4" x14ac:dyDescent="0.25">
      <c r="A293" s="239">
        <v>46092.361238425925</v>
      </c>
      <c r="B293" s="214" t="s">
        <v>2505</v>
      </c>
      <c r="C293" s="214" t="s">
        <v>2386</v>
      </c>
      <c r="D293" s="214">
        <v>282</v>
      </c>
    </row>
    <row r="294" spans="1:4" x14ac:dyDescent="0.25">
      <c r="A294" s="239">
        <v>46092.361238425925</v>
      </c>
      <c r="B294" s="214" t="s">
        <v>2505</v>
      </c>
      <c r="C294" s="214" t="s">
        <v>2385</v>
      </c>
      <c r="D294" s="214">
        <v>281</v>
      </c>
    </row>
    <row r="295" spans="1:4" x14ac:dyDescent="0.25">
      <c r="A295" s="239">
        <v>46092.361238425925</v>
      </c>
      <c r="B295" s="214" t="s">
        <v>2505</v>
      </c>
      <c r="C295" s="214" t="s">
        <v>2384</v>
      </c>
      <c r="D295" s="214">
        <v>280</v>
      </c>
    </row>
    <row r="296" spans="1:4" x14ac:dyDescent="0.25">
      <c r="A296" s="239">
        <v>46092.361238425925</v>
      </c>
      <c r="B296" s="214" t="s">
        <v>2505</v>
      </c>
      <c r="C296" s="214" t="s">
        <v>2383</v>
      </c>
      <c r="D296" s="214">
        <v>279</v>
      </c>
    </row>
    <row r="297" spans="1:4" x14ac:dyDescent="0.25">
      <c r="A297" s="239">
        <v>46092.361238425925</v>
      </c>
      <c r="B297" s="214" t="s">
        <v>2505</v>
      </c>
      <c r="C297" s="214" t="s">
        <v>2382</v>
      </c>
      <c r="D297" s="214">
        <v>278</v>
      </c>
    </row>
    <row r="298" spans="1:4" x14ac:dyDescent="0.25">
      <c r="A298" s="239">
        <v>46092.361238425925</v>
      </c>
      <c r="B298" s="214" t="s">
        <v>2505</v>
      </c>
      <c r="C298" s="214" t="s">
        <v>2381</v>
      </c>
      <c r="D298" s="214">
        <v>277</v>
      </c>
    </row>
    <row r="299" spans="1:4" x14ac:dyDescent="0.25">
      <c r="A299" s="239">
        <v>46092.361238425925</v>
      </c>
      <c r="B299" s="214" t="s">
        <v>2505</v>
      </c>
      <c r="C299" s="214" t="s">
        <v>2380</v>
      </c>
      <c r="D299" s="214">
        <v>276</v>
      </c>
    </row>
    <row r="300" spans="1:4" x14ac:dyDescent="0.25">
      <c r="A300" s="239">
        <v>46092.361238425925</v>
      </c>
      <c r="B300" s="214" t="s">
        <v>2505</v>
      </c>
      <c r="C300" s="214" t="s">
        <v>2379</v>
      </c>
      <c r="D300" s="214">
        <v>275</v>
      </c>
    </row>
    <row r="301" spans="1:4" x14ac:dyDescent="0.25">
      <c r="A301" s="239">
        <v>46092.361238425925</v>
      </c>
      <c r="B301" s="214" t="s">
        <v>2505</v>
      </c>
      <c r="C301" s="214" t="s">
        <v>2378</v>
      </c>
      <c r="D301" s="214">
        <v>274</v>
      </c>
    </row>
    <row r="302" spans="1:4" x14ac:dyDescent="0.25">
      <c r="A302" s="239">
        <v>46092.361238425925</v>
      </c>
      <c r="B302" s="214" t="s">
        <v>2505</v>
      </c>
      <c r="C302" s="214" t="s">
        <v>2377</v>
      </c>
      <c r="D302" s="214">
        <v>273</v>
      </c>
    </row>
    <row r="303" spans="1:4" x14ac:dyDescent="0.25">
      <c r="A303" s="239">
        <v>46092.361238425925</v>
      </c>
      <c r="B303" s="214" t="s">
        <v>2505</v>
      </c>
      <c r="C303" s="214" t="s">
        <v>2376</v>
      </c>
      <c r="D303" s="214">
        <v>272</v>
      </c>
    </row>
    <row r="304" spans="1:4" x14ac:dyDescent="0.25">
      <c r="A304" s="239">
        <v>46092.361238425925</v>
      </c>
      <c r="B304" s="214" t="s">
        <v>2505</v>
      </c>
      <c r="C304" s="214" t="s">
        <v>2375</v>
      </c>
      <c r="D304" s="214">
        <v>271</v>
      </c>
    </row>
    <row r="305" spans="1:4" x14ac:dyDescent="0.25">
      <c r="A305" s="239">
        <v>46092.361238425925</v>
      </c>
      <c r="B305" s="214" t="s">
        <v>2505</v>
      </c>
      <c r="C305" s="214" t="s">
        <v>2374</v>
      </c>
      <c r="D305" s="214">
        <v>270</v>
      </c>
    </row>
    <row r="306" spans="1:4" x14ac:dyDescent="0.25">
      <c r="A306" s="239">
        <v>46092.361238425925</v>
      </c>
      <c r="B306" s="214" t="s">
        <v>2505</v>
      </c>
      <c r="C306" s="214" t="s">
        <v>2373</v>
      </c>
      <c r="D306" s="214">
        <v>269</v>
      </c>
    </row>
    <row r="307" spans="1:4" x14ac:dyDescent="0.25">
      <c r="A307" s="239">
        <v>46092.361238425925</v>
      </c>
      <c r="B307" s="214" t="s">
        <v>2505</v>
      </c>
      <c r="C307" s="214" t="s">
        <v>2372</v>
      </c>
      <c r="D307" s="214">
        <v>268</v>
      </c>
    </row>
    <row r="308" spans="1:4" x14ac:dyDescent="0.25">
      <c r="A308" s="239">
        <v>46092.361238425925</v>
      </c>
      <c r="B308" s="214" t="s">
        <v>2505</v>
      </c>
      <c r="C308" s="214" t="s">
        <v>2371</v>
      </c>
      <c r="D308" s="214">
        <v>267</v>
      </c>
    </row>
    <row r="309" spans="1:4" x14ac:dyDescent="0.25">
      <c r="A309" s="239">
        <v>46092.361238425925</v>
      </c>
      <c r="B309" s="214" t="s">
        <v>2505</v>
      </c>
      <c r="C309" s="214" t="s">
        <v>2370</v>
      </c>
      <c r="D309" s="214">
        <v>266</v>
      </c>
    </row>
    <row r="310" spans="1:4" x14ac:dyDescent="0.25">
      <c r="A310" s="239">
        <v>46092.361238425925</v>
      </c>
      <c r="B310" s="214" t="s">
        <v>2505</v>
      </c>
      <c r="C310" s="214" t="s">
        <v>2369</v>
      </c>
      <c r="D310" s="214">
        <v>265</v>
      </c>
    </row>
    <row r="311" spans="1:4" x14ac:dyDescent="0.25">
      <c r="A311" s="239">
        <v>46092.361238425925</v>
      </c>
      <c r="B311" s="214" t="s">
        <v>2505</v>
      </c>
      <c r="C311" s="214" t="s">
        <v>2368</v>
      </c>
      <c r="D311" s="214">
        <v>264</v>
      </c>
    </row>
    <row r="312" spans="1:4" x14ac:dyDescent="0.25">
      <c r="A312" s="239">
        <v>46092.361238425925</v>
      </c>
      <c r="B312" s="214" t="s">
        <v>2505</v>
      </c>
      <c r="C312" s="214" t="s">
        <v>2367</v>
      </c>
      <c r="D312" s="214">
        <v>263</v>
      </c>
    </row>
    <row r="313" spans="1:4" x14ac:dyDescent="0.25">
      <c r="A313" s="239">
        <v>46092.361238425925</v>
      </c>
      <c r="B313" s="214" t="s">
        <v>2505</v>
      </c>
      <c r="C313" s="214" t="s">
        <v>2366</v>
      </c>
      <c r="D313" s="214">
        <v>262</v>
      </c>
    </row>
    <row r="314" spans="1:4" x14ac:dyDescent="0.25">
      <c r="A314" s="239">
        <v>46092.361238425925</v>
      </c>
      <c r="B314" s="214" t="s">
        <v>2505</v>
      </c>
      <c r="C314" s="214" t="s">
        <v>2365</v>
      </c>
      <c r="D314" s="214">
        <v>261</v>
      </c>
    </row>
    <row r="315" spans="1:4" x14ac:dyDescent="0.25">
      <c r="A315" s="239">
        <v>46092.361238425925</v>
      </c>
      <c r="B315" s="214" t="s">
        <v>2505</v>
      </c>
      <c r="C315" s="214" t="s">
        <v>2364</v>
      </c>
      <c r="D315" s="214">
        <v>260</v>
      </c>
    </row>
    <row r="316" spans="1:4" x14ac:dyDescent="0.25">
      <c r="A316" s="239">
        <v>46092.361238425925</v>
      </c>
      <c r="B316" s="214" t="s">
        <v>2505</v>
      </c>
      <c r="C316" s="214" t="s">
        <v>2363</v>
      </c>
      <c r="D316" s="214">
        <v>259</v>
      </c>
    </row>
    <row r="317" spans="1:4" x14ac:dyDescent="0.25">
      <c r="A317" s="239">
        <v>46092.361238425925</v>
      </c>
      <c r="B317" s="214" t="s">
        <v>2505</v>
      </c>
      <c r="C317" s="214" t="s">
        <v>2362</v>
      </c>
      <c r="D317" s="214">
        <v>258</v>
      </c>
    </row>
    <row r="318" spans="1:4" x14ac:dyDescent="0.25">
      <c r="A318" s="239">
        <v>46092.361238425925</v>
      </c>
      <c r="B318" s="214" t="s">
        <v>2505</v>
      </c>
      <c r="C318" s="214" t="s">
        <v>2361</v>
      </c>
      <c r="D318" s="214">
        <v>257</v>
      </c>
    </row>
    <row r="319" spans="1:4" x14ac:dyDescent="0.25">
      <c r="A319" s="239">
        <v>46092.361238425925</v>
      </c>
      <c r="B319" s="214" t="s">
        <v>2505</v>
      </c>
      <c r="C319" s="214" t="s">
        <v>2360</v>
      </c>
      <c r="D319" s="214">
        <v>256</v>
      </c>
    </row>
    <row r="320" spans="1:4" x14ac:dyDescent="0.25">
      <c r="A320" s="239">
        <v>46092.361238425925</v>
      </c>
      <c r="B320" s="214" t="s">
        <v>2505</v>
      </c>
      <c r="C320" s="214" t="s">
        <v>2359</v>
      </c>
      <c r="D320" s="214">
        <v>255</v>
      </c>
    </row>
    <row r="321" spans="1:4" x14ac:dyDescent="0.25">
      <c r="A321" s="239">
        <v>46092.361238425925</v>
      </c>
      <c r="B321" s="214" t="s">
        <v>2505</v>
      </c>
      <c r="C321" s="214" t="s">
        <v>2358</v>
      </c>
      <c r="D321" s="214">
        <v>254</v>
      </c>
    </row>
    <row r="322" spans="1:4" x14ac:dyDescent="0.25">
      <c r="A322" s="239">
        <v>46092.361238425925</v>
      </c>
      <c r="B322" s="214" t="s">
        <v>2505</v>
      </c>
      <c r="C322" s="214" t="s">
        <v>2357</v>
      </c>
      <c r="D322" s="214">
        <v>253</v>
      </c>
    </row>
    <row r="323" spans="1:4" x14ac:dyDescent="0.25">
      <c r="A323" s="239">
        <v>46092.361238425925</v>
      </c>
      <c r="B323" s="214" t="s">
        <v>2505</v>
      </c>
      <c r="C323" s="214" t="s">
        <v>2356</v>
      </c>
      <c r="D323" s="214">
        <v>252</v>
      </c>
    </row>
    <row r="324" spans="1:4" x14ac:dyDescent="0.25">
      <c r="A324" s="239">
        <v>46092.361238425925</v>
      </c>
      <c r="B324" s="214" t="s">
        <v>2505</v>
      </c>
      <c r="C324" s="214" t="s">
        <v>2355</v>
      </c>
      <c r="D324" s="214">
        <v>251</v>
      </c>
    </row>
    <row r="325" spans="1:4" x14ac:dyDescent="0.25">
      <c r="A325" s="239">
        <v>46092.361238425925</v>
      </c>
      <c r="B325" s="214" t="s">
        <v>2505</v>
      </c>
      <c r="C325" s="214" t="s">
        <v>2354</v>
      </c>
      <c r="D325" s="214">
        <v>250</v>
      </c>
    </row>
    <row r="326" spans="1:4" x14ac:dyDescent="0.25">
      <c r="A326" s="239">
        <v>46092.361238425925</v>
      </c>
      <c r="B326" s="214" t="s">
        <v>2505</v>
      </c>
      <c r="C326" s="214" t="s">
        <v>2353</v>
      </c>
      <c r="D326" s="214">
        <v>249</v>
      </c>
    </row>
    <row r="327" spans="1:4" x14ac:dyDescent="0.25">
      <c r="A327" s="239">
        <v>46092.361238425925</v>
      </c>
      <c r="B327" s="214" t="s">
        <v>2505</v>
      </c>
      <c r="C327" s="214" t="s">
        <v>2352</v>
      </c>
      <c r="D327" s="214">
        <v>248</v>
      </c>
    </row>
    <row r="328" spans="1:4" x14ac:dyDescent="0.25">
      <c r="A328" s="239">
        <v>46092.361238425925</v>
      </c>
      <c r="B328" s="214" t="s">
        <v>2505</v>
      </c>
      <c r="C328" s="214" t="s">
        <v>2351</v>
      </c>
      <c r="D328" s="214">
        <v>247</v>
      </c>
    </row>
    <row r="329" spans="1:4" x14ac:dyDescent="0.25">
      <c r="A329" s="239">
        <v>46092.361238425925</v>
      </c>
      <c r="B329" s="214" t="s">
        <v>2505</v>
      </c>
      <c r="C329" s="214" t="s">
        <v>2350</v>
      </c>
      <c r="D329" s="214">
        <v>246</v>
      </c>
    </row>
    <row r="330" spans="1:4" x14ac:dyDescent="0.25">
      <c r="A330" s="239">
        <v>46092.361238425925</v>
      </c>
      <c r="B330" s="214" t="s">
        <v>2505</v>
      </c>
      <c r="C330" s="214" t="s">
        <v>2349</v>
      </c>
      <c r="D330" s="214">
        <v>245</v>
      </c>
    </row>
    <row r="331" spans="1:4" x14ac:dyDescent="0.25">
      <c r="A331" s="239">
        <v>46092.361238425925</v>
      </c>
      <c r="B331" s="214" t="s">
        <v>2505</v>
      </c>
      <c r="C331" s="214" t="s">
        <v>2348</v>
      </c>
      <c r="D331" s="214">
        <v>244</v>
      </c>
    </row>
    <row r="332" spans="1:4" x14ac:dyDescent="0.25">
      <c r="A332" s="239">
        <v>46092.361238425925</v>
      </c>
      <c r="B332" s="214" t="s">
        <v>2505</v>
      </c>
      <c r="C332" s="214" t="s">
        <v>2347</v>
      </c>
      <c r="D332" s="214">
        <v>243</v>
      </c>
    </row>
    <row r="333" spans="1:4" x14ac:dyDescent="0.25">
      <c r="A333" s="239">
        <v>46092.361238425925</v>
      </c>
      <c r="B333" s="214" t="s">
        <v>2505</v>
      </c>
      <c r="C333" s="214" t="s">
        <v>2346</v>
      </c>
      <c r="D333" s="214">
        <v>242</v>
      </c>
    </row>
    <row r="334" spans="1:4" x14ac:dyDescent="0.25">
      <c r="A334" s="239">
        <v>46092.361238425925</v>
      </c>
      <c r="B334" s="214" t="s">
        <v>2505</v>
      </c>
      <c r="C334" s="214" t="s">
        <v>2345</v>
      </c>
      <c r="D334" s="214">
        <v>241</v>
      </c>
    </row>
    <row r="335" spans="1:4" x14ac:dyDescent="0.25">
      <c r="A335" s="239">
        <v>46092.361238425925</v>
      </c>
      <c r="B335" s="214" t="s">
        <v>2505</v>
      </c>
      <c r="C335" s="214" t="s">
        <v>2344</v>
      </c>
      <c r="D335" s="214">
        <v>240</v>
      </c>
    </row>
    <row r="336" spans="1:4" x14ac:dyDescent="0.25">
      <c r="A336" s="239">
        <v>46092.361238425925</v>
      </c>
      <c r="B336" s="214" t="s">
        <v>2505</v>
      </c>
      <c r="C336" s="214" t="s">
        <v>2343</v>
      </c>
      <c r="D336" s="214">
        <v>239</v>
      </c>
    </row>
    <row r="337" spans="1:4" x14ac:dyDescent="0.25">
      <c r="A337" s="239">
        <v>46092.361238425925</v>
      </c>
      <c r="B337" s="214" t="s">
        <v>2505</v>
      </c>
      <c r="C337" s="214" t="s">
        <v>2342</v>
      </c>
      <c r="D337" s="214">
        <v>238</v>
      </c>
    </row>
    <row r="338" spans="1:4" x14ac:dyDescent="0.25">
      <c r="A338" s="239">
        <v>46092.361238425925</v>
      </c>
      <c r="B338" s="214" t="s">
        <v>2505</v>
      </c>
      <c r="C338" s="214" t="s">
        <v>2341</v>
      </c>
      <c r="D338" s="214">
        <v>237</v>
      </c>
    </row>
    <row r="339" spans="1:4" x14ac:dyDescent="0.25">
      <c r="A339" s="239">
        <v>46092.361238425925</v>
      </c>
      <c r="B339" s="214" t="s">
        <v>2505</v>
      </c>
      <c r="C339" s="214" t="s">
        <v>2340</v>
      </c>
      <c r="D339" s="214">
        <v>236</v>
      </c>
    </row>
    <row r="340" spans="1:4" x14ac:dyDescent="0.25">
      <c r="A340" s="239">
        <v>46092.361238425925</v>
      </c>
      <c r="B340" s="214" t="s">
        <v>2505</v>
      </c>
      <c r="C340" s="214" t="s">
        <v>2339</v>
      </c>
      <c r="D340" s="214">
        <v>235</v>
      </c>
    </row>
    <row r="341" spans="1:4" x14ac:dyDescent="0.25">
      <c r="A341" s="239">
        <v>46092.361238425925</v>
      </c>
      <c r="B341" s="214" t="s">
        <v>2505</v>
      </c>
      <c r="C341" s="214" t="s">
        <v>2338</v>
      </c>
      <c r="D341" s="214">
        <v>234</v>
      </c>
    </row>
    <row r="342" spans="1:4" x14ac:dyDescent="0.25">
      <c r="A342" s="239">
        <v>46092.361238425925</v>
      </c>
      <c r="B342" s="214" t="s">
        <v>2505</v>
      </c>
      <c r="C342" s="214" t="s">
        <v>2337</v>
      </c>
      <c r="D342" s="214">
        <v>233</v>
      </c>
    </row>
    <row r="343" spans="1:4" x14ac:dyDescent="0.25">
      <c r="A343" s="239">
        <v>46092.361238425925</v>
      </c>
      <c r="B343" s="214" t="s">
        <v>2505</v>
      </c>
      <c r="C343" s="214" t="s">
        <v>2336</v>
      </c>
      <c r="D343" s="214">
        <v>232</v>
      </c>
    </row>
    <row r="344" spans="1:4" x14ac:dyDescent="0.25">
      <c r="A344" s="239">
        <v>46092.361238425925</v>
      </c>
      <c r="B344" s="214" t="s">
        <v>2505</v>
      </c>
      <c r="C344" s="214" t="s">
        <v>2335</v>
      </c>
      <c r="D344" s="214">
        <v>231</v>
      </c>
    </row>
    <row r="345" spans="1:4" x14ac:dyDescent="0.25">
      <c r="A345" s="239">
        <v>46092.361238425925</v>
      </c>
      <c r="B345" s="214" t="s">
        <v>2505</v>
      </c>
      <c r="C345" s="214" t="s">
        <v>2334</v>
      </c>
      <c r="D345" s="214">
        <v>230</v>
      </c>
    </row>
    <row r="346" spans="1:4" x14ac:dyDescent="0.25">
      <c r="A346" s="239">
        <v>46092.361238425925</v>
      </c>
      <c r="B346" s="214" t="s">
        <v>2505</v>
      </c>
      <c r="C346" s="214" t="s">
        <v>2333</v>
      </c>
      <c r="D346" s="214">
        <v>229</v>
      </c>
    </row>
    <row r="347" spans="1:4" x14ac:dyDescent="0.25">
      <c r="A347" s="239">
        <v>46092.361238425925</v>
      </c>
      <c r="B347" s="214" t="s">
        <v>2505</v>
      </c>
      <c r="C347" s="214" t="s">
        <v>2332</v>
      </c>
      <c r="D347" s="214">
        <v>228</v>
      </c>
    </row>
    <row r="348" spans="1:4" x14ac:dyDescent="0.25">
      <c r="A348" s="239">
        <v>46092.361238425925</v>
      </c>
      <c r="B348" s="214" t="s">
        <v>2505</v>
      </c>
      <c r="C348" s="214" t="s">
        <v>2331</v>
      </c>
      <c r="D348" s="214">
        <v>227</v>
      </c>
    </row>
    <row r="349" spans="1:4" x14ac:dyDescent="0.25">
      <c r="A349" s="239">
        <v>46092.361238425925</v>
      </c>
      <c r="B349" s="214" t="s">
        <v>2505</v>
      </c>
      <c r="C349" s="214" t="s">
        <v>2330</v>
      </c>
      <c r="D349" s="214">
        <v>226</v>
      </c>
    </row>
    <row r="350" spans="1:4" x14ac:dyDescent="0.25">
      <c r="A350" s="239">
        <v>46092.361238425925</v>
      </c>
      <c r="B350" s="214" t="s">
        <v>2505</v>
      </c>
      <c r="C350" s="214" t="s">
        <v>2329</v>
      </c>
      <c r="D350" s="214">
        <v>225</v>
      </c>
    </row>
    <row r="351" spans="1:4" x14ac:dyDescent="0.25">
      <c r="A351" s="239">
        <v>46092.361238425925</v>
      </c>
      <c r="B351" s="214" t="s">
        <v>2505</v>
      </c>
      <c r="C351" s="214" t="s">
        <v>2328</v>
      </c>
      <c r="D351" s="214">
        <v>224</v>
      </c>
    </row>
    <row r="352" spans="1:4" x14ac:dyDescent="0.25">
      <c r="A352" s="239">
        <v>46092.361238425925</v>
      </c>
      <c r="B352" s="214" t="s">
        <v>2505</v>
      </c>
      <c r="C352" s="214" t="s">
        <v>2327</v>
      </c>
      <c r="D352" s="214">
        <v>223</v>
      </c>
    </row>
    <row r="353" spans="1:4" x14ac:dyDescent="0.25">
      <c r="A353" s="239">
        <v>46092.361238425925</v>
      </c>
      <c r="B353" s="214" t="s">
        <v>2505</v>
      </c>
      <c r="C353" s="214" t="s">
        <v>2326</v>
      </c>
      <c r="D353" s="214">
        <v>222</v>
      </c>
    </row>
    <row r="354" spans="1:4" x14ac:dyDescent="0.25">
      <c r="A354" s="239">
        <v>46092.361238425925</v>
      </c>
      <c r="B354" s="214" t="s">
        <v>2505</v>
      </c>
      <c r="C354" s="214" t="s">
        <v>2325</v>
      </c>
      <c r="D354" s="214">
        <v>221</v>
      </c>
    </row>
    <row r="355" spans="1:4" x14ac:dyDescent="0.25">
      <c r="A355" s="239">
        <v>46092.361238425925</v>
      </c>
      <c r="B355" s="214" t="s">
        <v>2505</v>
      </c>
      <c r="C355" s="214" t="s">
        <v>2324</v>
      </c>
      <c r="D355" s="214">
        <v>220</v>
      </c>
    </row>
    <row r="356" spans="1:4" x14ac:dyDescent="0.25">
      <c r="A356" s="239">
        <v>46092.361238425925</v>
      </c>
      <c r="B356" s="214" t="s">
        <v>2505</v>
      </c>
      <c r="C356" s="214" t="s">
        <v>2323</v>
      </c>
      <c r="D356" s="214">
        <v>219</v>
      </c>
    </row>
    <row r="357" spans="1:4" x14ac:dyDescent="0.25">
      <c r="A357" s="239">
        <v>46092.361238425925</v>
      </c>
      <c r="B357" s="214" t="s">
        <v>2505</v>
      </c>
      <c r="C357" s="214" t="s">
        <v>2322</v>
      </c>
      <c r="D357" s="214">
        <v>218</v>
      </c>
    </row>
    <row r="358" spans="1:4" x14ac:dyDescent="0.25">
      <c r="A358" s="239">
        <v>46092.361238425925</v>
      </c>
      <c r="B358" s="214" t="s">
        <v>2505</v>
      </c>
      <c r="C358" s="214" t="s">
        <v>2321</v>
      </c>
      <c r="D358" s="214">
        <v>217</v>
      </c>
    </row>
    <row r="359" spans="1:4" x14ac:dyDescent="0.25">
      <c r="A359" s="239">
        <v>46092.361238425925</v>
      </c>
      <c r="B359" s="214" t="s">
        <v>2505</v>
      </c>
      <c r="C359" s="214" t="s">
        <v>2320</v>
      </c>
      <c r="D359" s="214">
        <v>216</v>
      </c>
    </row>
    <row r="360" spans="1:4" x14ac:dyDescent="0.25">
      <c r="A360" s="239">
        <v>46092.361238425925</v>
      </c>
      <c r="B360" s="214" t="s">
        <v>2505</v>
      </c>
      <c r="C360" s="214" t="s">
        <v>2319</v>
      </c>
      <c r="D360" s="214">
        <v>215</v>
      </c>
    </row>
    <row r="361" spans="1:4" x14ac:dyDescent="0.25">
      <c r="A361" s="239">
        <v>46092.361238425925</v>
      </c>
      <c r="B361" s="214" t="s">
        <v>2505</v>
      </c>
      <c r="C361" s="214" t="s">
        <v>2318</v>
      </c>
      <c r="D361" s="214">
        <v>214</v>
      </c>
    </row>
    <row r="362" spans="1:4" x14ac:dyDescent="0.25">
      <c r="A362" s="239">
        <v>46092.361238425925</v>
      </c>
      <c r="B362" s="214" t="s">
        <v>2505</v>
      </c>
      <c r="C362" s="214" t="s">
        <v>2317</v>
      </c>
      <c r="D362" s="214">
        <v>213</v>
      </c>
    </row>
    <row r="363" spans="1:4" x14ac:dyDescent="0.25">
      <c r="A363" s="239">
        <v>46092.361238425925</v>
      </c>
      <c r="B363" s="214" t="s">
        <v>2505</v>
      </c>
      <c r="C363" s="214" t="s">
        <v>2316</v>
      </c>
      <c r="D363" s="214">
        <v>212</v>
      </c>
    </row>
    <row r="364" spans="1:4" x14ac:dyDescent="0.25">
      <c r="A364" s="239">
        <v>46092.361238425925</v>
      </c>
      <c r="B364" s="214" t="s">
        <v>2505</v>
      </c>
      <c r="C364" s="214" t="s">
        <v>2315</v>
      </c>
      <c r="D364" s="214">
        <v>211</v>
      </c>
    </row>
    <row r="365" spans="1:4" x14ac:dyDescent="0.25">
      <c r="A365" s="239">
        <v>46092.361238425925</v>
      </c>
      <c r="B365" s="214" t="s">
        <v>2505</v>
      </c>
      <c r="C365" s="214" t="s">
        <v>2314</v>
      </c>
      <c r="D365" s="214">
        <v>210</v>
      </c>
    </row>
    <row r="366" spans="1:4" x14ac:dyDescent="0.25">
      <c r="A366" s="239">
        <v>46092.361238425925</v>
      </c>
      <c r="B366" s="214" t="s">
        <v>2505</v>
      </c>
      <c r="C366" s="214" t="s">
        <v>2313</v>
      </c>
      <c r="D366" s="214">
        <v>209</v>
      </c>
    </row>
    <row r="367" spans="1:4" x14ac:dyDescent="0.25">
      <c r="A367" s="239">
        <v>46092.361238425925</v>
      </c>
      <c r="B367" s="214" t="s">
        <v>2505</v>
      </c>
      <c r="C367" s="214" t="s">
        <v>2312</v>
      </c>
      <c r="D367" s="214">
        <v>208</v>
      </c>
    </row>
    <row r="368" spans="1:4" x14ac:dyDescent="0.25">
      <c r="A368" s="239">
        <v>46092.361238425925</v>
      </c>
      <c r="B368" s="214" t="s">
        <v>2505</v>
      </c>
      <c r="C368" s="214" t="s">
        <v>2311</v>
      </c>
      <c r="D368" s="214">
        <v>207</v>
      </c>
    </row>
    <row r="369" spans="1:4" x14ac:dyDescent="0.25">
      <c r="A369" s="239">
        <v>46092.361238425925</v>
      </c>
      <c r="B369" s="214" t="s">
        <v>2505</v>
      </c>
      <c r="C369" s="214" t="s">
        <v>2310</v>
      </c>
      <c r="D369" s="214">
        <v>206</v>
      </c>
    </row>
    <row r="370" spans="1:4" x14ac:dyDescent="0.25">
      <c r="A370" s="239">
        <v>46092.361238425925</v>
      </c>
      <c r="B370" s="214" t="s">
        <v>2505</v>
      </c>
      <c r="C370" s="214" t="s">
        <v>2309</v>
      </c>
      <c r="D370" s="214">
        <v>205</v>
      </c>
    </row>
    <row r="371" spans="1:4" x14ac:dyDescent="0.25">
      <c r="A371" s="239">
        <v>46092.361238425925</v>
      </c>
      <c r="B371" s="214" t="s">
        <v>2505</v>
      </c>
      <c r="C371" s="214" t="s">
        <v>2308</v>
      </c>
      <c r="D371" s="214">
        <v>204</v>
      </c>
    </row>
    <row r="372" spans="1:4" x14ac:dyDescent="0.25">
      <c r="A372" s="239">
        <v>46092.361238425925</v>
      </c>
      <c r="B372" s="214" t="s">
        <v>2505</v>
      </c>
      <c r="C372" s="214" t="s">
        <v>2307</v>
      </c>
      <c r="D372" s="214">
        <v>203</v>
      </c>
    </row>
    <row r="373" spans="1:4" x14ac:dyDescent="0.25">
      <c r="A373" s="239">
        <v>46092.361238425925</v>
      </c>
      <c r="B373" s="214" t="s">
        <v>2505</v>
      </c>
      <c r="C373" s="214" t="s">
        <v>2306</v>
      </c>
      <c r="D373" s="214">
        <v>202</v>
      </c>
    </row>
    <row r="374" spans="1:4" x14ac:dyDescent="0.25">
      <c r="A374" s="239">
        <v>46092.361238425925</v>
      </c>
      <c r="B374" s="214" t="s">
        <v>2505</v>
      </c>
      <c r="C374" s="214" t="s">
        <v>2305</v>
      </c>
      <c r="D374" s="214">
        <v>201</v>
      </c>
    </row>
    <row r="375" spans="1:4" x14ac:dyDescent="0.25">
      <c r="A375" s="239">
        <v>46092.361238425925</v>
      </c>
      <c r="B375" s="214" t="s">
        <v>2505</v>
      </c>
      <c r="C375" s="214" t="s">
        <v>2304</v>
      </c>
      <c r="D375" s="214">
        <v>200</v>
      </c>
    </row>
    <row r="376" spans="1:4" x14ac:dyDescent="0.25">
      <c r="A376" s="239">
        <v>46092.361238425925</v>
      </c>
      <c r="B376" s="214" t="s">
        <v>2505</v>
      </c>
      <c r="C376" s="214" t="s">
        <v>2303</v>
      </c>
      <c r="D376" s="214">
        <v>199</v>
      </c>
    </row>
    <row r="377" spans="1:4" x14ac:dyDescent="0.25">
      <c r="A377" s="239">
        <v>46092.361238425925</v>
      </c>
      <c r="B377" s="214" t="s">
        <v>2505</v>
      </c>
      <c r="C377" s="214" t="s">
        <v>2302</v>
      </c>
      <c r="D377" s="214">
        <v>198</v>
      </c>
    </row>
    <row r="378" spans="1:4" x14ac:dyDescent="0.25">
      <c r="A378" s="239">
        <v>46092.361238425925</v>
      </c>
      <c r="B378" s="214" t="s">
        <v>2505</v>
      </c>
      <c r="C378" s="214" t="s">
        <v>2301</v>
      </c>
      <c r="D378" s="214">
        <v>197</v>
      </c>
    </row>
    <row r="379" spans="1:4" x14ac:dyDescent="0.25">
      <c r="A379" s="239">
        <v>46092.361238425925</v>
      </c>
      <c r="B379" s="214" t="s">
        <v>2505</v>
      </c>
      <c r="C379" s="214" t="s">
        <v>2300</v>
      </c>
      <c r="D379" s="214">
        <v>196</v>
      </c>
    </row>
    <row r="380" spans="1:4" x14ac:dyDescent="0.25">
      <c r="A380" s="239">
        <v>46092.361238425925</v>
      </c>
      <c r="B380" s="214" t="s">
        <v>2505</v>
      </c>
      <c r="C380" s="214" t="s">
        <v>2299</v>
      </c>
      <c r="D380" s="214">
        <v>195</v>
      </c>
    </row>
    <row r="381" spans="1:4" x14ac:dyDescent="0.25">
      <c r="A381" s="239">
        <v>46092.361238425925</v>
      </c>
      <c r="B381" s="214" t="s">
        <v>2505</v>
      </c>
      <c r="C381" s="214" t="s">
        <v>2298</v>
      </c>
      <c r="D381" s="214">
        <v>194</v>
      </c>
    </row>
    <row r="382" spans="1:4" x14ac:dyDescent="0.25">
      <c r="A382" s="239">
        <v>46092.361238425925</v>
      </c>
      <c r="B382" s="214" t="s">
        <v>2505</v>
      </c>
      <c r="C382" s="214" t="s">
        <v>2297</v>
      </c>
      <c r="D382" s="214">
        <v>193</v>
      </c>
    </row>
    <row r="383" spans="1:4" x14ac:dyDescent="0.25">
      <c r="A383" s="239">
        <v>46092.361238425925</v>
      </c>
      <c r="B383" s="214" t="s">
        <v>2505</v>
      </c>
      <c r="C383" s="214" t="s">
        <v>2296</v>
      </c>
      <c r="D383" s="214">
        <v>192</v>
      </c>
    </row>
    <row r="384" spans="1:4" x14ac:dyDescent="0.25">
      <c r="A384" s="239">
        <v>46092.361238425925</v>
      </c>
      <c r="B384" s="214" t="s">
        <v>2505</v>
      </c>
      <c r="C384" s="214" t="s">
        <v>2295</v>
      </c>
      <c r="D384" s="214">
        <v>191</v>
      </c>
    </row>
    <row r="385" spans="1:4" x14ac:dyDescent="0.25">
      <c r="A385" s="239">
        <v>46092.361238425925</v>
      </c>
      <c r="B385" s="214" t="s">
        <v>2505</v>
      </c>
      <c r="C385" s="214" t="s">
        <v>2294</v>
      </c>
      <c r="D385" s="214">
        <v>190</v>
      </c>
    </row>
    <row r="386" spans="1:4" x14ac:dyDescent="0.25">
      <c r="A386" s="239">
        <v>46092.361238425925</v>
      </c>
      <c r="B386" s="214" t="s">
        <v>2505</v>
      </c>
      <c r="C386" s="214" t="s">
        <v>2293</v>
      </c>
      <c r="D386" s="214">
        <v>189</v>
      </c>
    </row>
    <row r="387" spans="1:4" x14ac:dyDescent="0.25">
      <c r="A387" s="239">
        <v>46092.361238425925</v>
      </c>
      <c r="B387" s="214" t="s">
        <v>2505</v>
      </c>
      <c r="C387" s="214" t="s">
        <v>2292</v>
      </c>
      <c r="D387" s="214">
        <v>188</v>
      </c>
    </row>
    <row r="388" spans="1:4" x14ac:dyDescent="0.25">
      <c r="A388" s="239">
        <v>46092.361238425925</v>
      </c>
      <c r="B388" s="214" t="s">
        <v>2505</v>
      </c>
      <c r="C388" s="214" t="s">
        <v>2291</v>
      </c>
      <c r="D388" s="214">
        <v>187</v>
      </c>
    </row>
    <row r="389" spans="1:4" x14ac:dyDescent="0.25">
      <c r="A389" s="239">
        <v>46092.361238425925</v>
      </c>
      <c r="B389" s="214" t="s">
        <v>2505</v>
      </c>
      <c r="C389" s="214" t="s">
        <v>2290</v>
      </c>
      <c r="D389" s="214">
        <v>186</v>
      </c>
    </row>
    <row r="390" spans="1:4" x14ac:dyDescent="0.25">
      <c r="A390" s="239">
        <v>46092.361238425925</v>
      </c>
      <c r="B390" s="214" t="s">
        <v>2505</v>
      </c>
      <c r="C390" s="214" t="s">
        <v>2289</v>
      </c>
      <c r="D390" s="214">
        <v>185</v>
      </c>
    </row>
    <row r="391" spans="1:4" x14ac:dyDescent="0.25">
      <c r="A391" s="239">
        <v>46092.361238425925</v>
      </c>
      <c r="B391" s="214" t="s">
        <v>2505</v>
      </c>
      <c r="C391" s="214" t="s">
        <v>2288</v>
      </c>
      <c r="D391" s="214">
        <v>184</v>
      </c>
    </row>
    <row r="392" spans="1:4" x14ac:dyDescent="0.25">
      <c r="A392" s="239">
        <v>46092.361238425925</v>
      </c>
      <c r="B392" s="214" t="s">
        <v>2505</v>
      </c>
      <c r="C392" s="214" t="s">
        <v>2287</v>
      </c>
      <c r="D392" s="214">
        <v>183</v>
      </c>
    </row>
    <row r="393" spans="1:4" x14ac:dyDescent="0.25">
      <c r="A393" s="239">
        <v>46092.361238425925</v>
      </c>
      <c r="B393" s="214" t="s">
        <v>2505</v>
      </c>
      <c r="C393" s="214" t="s">
        <v>2286</v>
      </c>
      <c r="D393" s="214">
        <v>182</v>
      </c>
    </row>
    <row r="394" spans="1:4" x14ac:dyDescent="0.25">
      <c r="A394" s="239">
        <v>46092.361238425925</v>
      </c>
      <c r="B394" s="214" t="s">
        <v>2505</v>
      </c>
      <c r="C394" s="214" t="s">
        <v>2285</v>
      </c>
      <c r="D394" s="214">
        <v>181</v>
      </c>
    </row>
    <row r="395" spans="1:4" x14ac:dyDescent="0.25">
      <c r="A395" s="239">
        <v>46092.361238425925</v>
      </c>
      <c r="B395" s="214" t="s">
        <v>2505</v>
      </c>
      <c r="C395" s="214" t="s">
        <v>2284</v>
      </c>
      <c r="D395" s="214">
        <v>180</v>
      </c>
    </row>
    <row r="396" spans="1:4" x14ac:dyDescent="0.25">
      <c r="A396" s="239">
        <v>46092.361238425925</v>
      </c>
      <c r="B396" s="214" t="s">
        <v>2505</v>
      </c>
      <c r="C396" s="214" t="s">
        <v>2283</v>
      </c>
      <c r="D396" s="214">
        <v>179</v>
      </c>
    </row>
    <row r="397" spans="1:4" x14ac:dyDescent="0.25">
      <c r="A397" s="239">
        <v>46092.361238425925</v>
      </c>
      <c r="B397" s="214" t="s">
        <v>2505</v>
      </c>
      <c r="C397" s="214" t="s">
        <v>2282</v>
      </c>
      <c r="D397" s="214">
        <v>178</v>
      </c>
    </row>
    <row r="398" spans="1:4" x14ac:dyDescent="0.25">
      <c r="A398" s="239">
        <v>46092.361238425925</v>
      </c>
      <c r="B398" s="214" t="s">
        <v>2505</v>
      </c>
      <c r="C398" s="214" t="s">
        <v>2281</v>
      </c>
      <c r="D398" s="214">
        <v>177</v>
      </c>
    </row>
    <row r="399" spans="1:4" x14ac:dyDescent="0.25">
      <c r="A399" s="239">
        <v>46092.361238425925</v>
      </c>
      <c r="B399" s="214" t="s">
        <v>2505</v>
      </c>
      <c r="C399" s="214" t="s">
        <v>2280</v>
      </c>
      <c r="D399" s="214">
        <v>176</v>
      </c>
    </row>
    <row r="400" spans="1:4" x14ac:dyDescent="0.25">
      <c r="A400" s="239">
        <v>46092.361238425925</v>
      </c>
      <c r="B400" s="214" t="s">
        <v>2505</v>
      </c>
      <c r="C400" s="214" t="s">
        <v>2279</v>
      </c>
      <c r="D400" s="214">
        <v>175</v>
      </c>
    </row>
    <row r="401" spans="1:4" x14ac:dyDescent="0.25">
      <c r="A401" s="239">
        <v>46092.361238425925</v>
      </c>
      <c r="B401" s="214" t="s">
        <v>2505</v>
      </c>
      <c r="C401" s="214" t="s">
        <v>2278</v>
      </c>
      <c r="D401" s="214">
        <v>174</v>
      </c>
    </row>
    <row r="402" spans="1:4" x14ac:dyDescent="0.25">
      <c r="A402" s="239">
        <v>46092.361238425925</v>
      </c>
      <c r="B402" s="214" t="s">
        <v>2505</v>
      </c>
      <c r="C402" s="214" t="s">
        <v>2277</v>
      </c>
      <c r="D402" s="214">
        <v>173</v>
      </c>
    </row>
    <row r="403" spans="1:4" x14ac:dyDescent="0.25">
      <c r="A403" s="239">
        <v>46092.361238425925</v>
      </c>
      <c r="B403" s="214" t="s">
        <v>2505</v>
      </c>
      <c r="C403" s="214" t="s">
        <v>2276</v>
      </c>
      <c r="D403" s="214">
        <v>172</v>
      </c>
    </row>
    <row r="404" spans="1:4" x14ac:dyDescent="0.25">
      <c r="A404" s="239">
        <v>46092.361238425925</v>
      </c>
      <c r="B404" s="214" t="s">
        <v>2505</v>
      </c>
      <c r="C404" s="214" t="s">
        <v>2275</v>
      </c>
      <c r="D404" s="214">
        <v>171</v>
      </c>
    </row>
    <row r="405" spans="1:4" x14ac:dyDescent="0.25">
      <c r="A405" s="239">
        <v>46092.361238425925</v>
      </c>
      <c r="B405" s="214" t="s">
        <v>2505</v>
      </c>
      <c r="C405" s="214" t="s">
        <v>2274</v>
      </c>
      <c r="D405" s="214">
        <v>170</v>
      </c>
    </row>
    <row r="406" spans="1:4" x14ac:dyDescent="0.25">
      <c r="A406" s="239">
        <v>46092.361238425925</v>
      </c>
      <c r="B406" s="214" t="s">
        <v>2505</v>
      </c>
      <c r="C406" s="214" t="s">
        <v>2273</v>
      </c>
      <c r="D406" s="214">
        <v>169</v>
      </c>
    </row>
    <row r="407" spans="1:4" x14ac:dyDescent="0.25">
      <c r="A407" s="239">
        <v>46092.361238425925</v>
      </c>
      <c r="B407" s="214" t="s">
        <v>2505</v>
      </c>
      <c r="C407" s="214" t="s">
        <v>2272</v>
      </c>
      <c r="D407" s="214">
        <v>168</v>
      </c>
    </row>
    <row r="408" spans="1:4" x14ac:dyDescent="0.25">
      <c r="A408" s="239">
        <v>46092.361238425925</v>
      </c>
      <c r="B408" s="214" t="s">
        <v>2505</v>
      </c>
      <c r="C408" s="214" t="s">
        <v>2271</v>
      </c>
      <c r="D408" s="214">
        <v>167</v>
      </c>
    </row>
    <row r="409" spans="1:4" x14ac:dyDescent="0.25">
      <c r="A409" s="239">
        <v>46092.361226851855</v>
      </c>
      <c r="B409" s="214" t="s">
        <v>2505</v>
      </c>
      <c r="C409" s="214" t="s">
        <v>2504</v>
      </c>
      <c r="D409" s="214">
        <v>400</v>
      </c>
    </row>
    <row r="410" spans="1:4" x14ac:dyDescent="0.25">
      <c r="A410" s="239">
        <v>46092.361226851855</v>
      </c>
      <c r="B410" s="214" t="s">
        <v>2505</v>
      </c>
      <c r="C410" s="214" t="s">
        <v>2503</v>
      </c>
      <c r="D410" s="214">
        <v>399</v>
      </c>
    </row>
    <row r="411" spans="1:4" x14ac:dyDescent="0.25">
      <c r="A411" s="239">
        <v>46092.361226851855</v>
      </c>
      <c r="B411" s="214" t="s">
        <v>2505</v>
      </c>
      <c r="C411" s="214" t="s">
        <v>2502</v>
      </c>
      <c r="D411" s="214">
        <v>398</v>
      </c>
    </row>
    <row r="412" spans="1:4" x14ac:dyDescent="0.25">
      <c r="A412" s="239">
        <v>46092.361226851855</v>
      </c>
      <c r="B412" s="214" t="s">
        <v>2505</v>
      </c>
      <c r="C412" s="214" t="s">
        <v>2501</v>
      </c>
      <c r="D412" s="214">
        <v>397</v>
      </c>
    </row>
    <row r="413" spans="1:4" x14ac:dyDescent="0.25">
      <c r="A413" s="239">
        <v>46092.361226851855</v>
      </c>
      <c r="B413" s="214" t="s">
        <v>2505</v>
      </c>
      <c r="C413" s="214" t="s">
        <v>2500</v>
      </c>
      <c r="D413" s="214">
        <v>396</v>
      </c>
    </row>
    <row r="414" spans="1:4" x14ac:dyDescent="0.25">
      <c r="A414" s="239">
        <v>46092.361226851855</v>
      </c>
      <c r="B414" s="214" t="s">
        <v>2505</v>
      </c>
      <c r="C414" s="214" t="s">
        <v>2499</v>
      </c>
      <c r="D414" s="214">
        <v>395</v>
      </c>
    </row>
    <row r="415" spans="1:4" x14ac:dyDescent="0.25">
      <c r="A415" s="239">
        <v>46092.361226851855</v>
      </c>
      <c r="B415" s="214" t="s">
        <v>2505</v>
      </c>
      <c r="C415" s="214" t="s">
        <v>2498</v>
      </c>
      <c r="D415" s="214">
        <v>394</v>
      </c>
    </row>
    <row r="416" spans="1:4" x14ac:dyDescent="0.25">
      <c r="A416" s="239">
        <v>46092.361226851855</v>
      </c>
      <c r="B416" s="214" t="s">
        <v>2505</v>
      </c>
      <c r="C416" s="214" t="s">
        <v>2497</v>
      </c>
      <c r="D416" s="214">
        <v>393</v>
      </c>
    </row>
    <row r="417" spans="1:4" x14ac:dyDescent="0.25">
      <c r="A417" s="239">
        <v>46092.361226851855</v>
      </c>
      <c r="B417" s="214" t="s">
        <v>2505</v>
      </c>
      <c r="C417" s="214" t="s">
        <v>2496</v>
      </c>
      <c r="D417" s="214">
        <v>392</v>
      </c>
    </row>
    <row r="418" spans="1:4" x14ac:dyDescent="0.25">
      <c r="A418" s="239">
        <v>46092.361226851855</v>
      </c>
      <c r="B418" s="214" t="s">
        <v>2505</v>
      </c>
      <c r="C418" s="214" t="s">
        <v>2495</v>
      </c>
      <c r="D418" s="214">
        <v>391</v>
      </c>
    </row>
    <row r="419" spans="1:4" x14ac:dyDescent="0.25">
      <c r="A419" s="239">
        <v>46092.361226851855</v>
      </c>
      <c r="B419" s="214" t="s">
        <v>2505</v>
      </c>
      <c r="C419" s="214" t="s">
        <v>2494</v>
      </c>
      <c r="D419" s="214">
        <v>390</v>
      </c>
    </row>
    <row r="420" spans="1:4" x14ac:dyDescent="0.25">
      <c r="A420" s="239">
        <v>46092.361226851855</v>
      </c>
      <c r="B420" s="214" t="s">
        <v>2505</v>
      </c>
      <c r="C420" s="214" t="s">
        <v>2493</v>
      </c>
      <c r="D420" s="214">
        <v>389</v>
      </c>
    </row>
    <row r="421" spans="1:4" x14ac:dyDescent="0.25">
      <c r="A421" s="239">
        <v>46092.361226851855</v>
      </c>
      <c r="B421" s="214" t="s">
        <v>2505</v>
      </c>
      <c r="C421" s="214" t="s">
        <v>2492</v>
      </c>
      <c r="D421" s="214">
        <v>388</v>
      </c>
    </row>
    <row r="422" spans="1:4" x14ac:dyDescent="0.25">
      <c r="A422" s="239">
        <v>46092.361226851855</v>
      </c>
      <c r="B422" s="214" t="s">
        <v>2505</v>
      </c>
      <c r="C422" s="214" t="s">
        <v>2491</v>
      </c>
      <c r="D422" s="214">
        <v>387</v>
      </c>
    </row>
    <row r="423" spans="1:4" x14ac:dyDescent="0.25">
      <c r="A423" s="239">
        <v>46092.361226851855</v>
      </c>
      <c r="B423" s="214" t="s">
        <v>2505</v>
      </c>
      <c r="C423" s="214" t="s">
        <v>2490</v>
      </c>
      <c r="D423" s="214">
        <v>386</v>
      </c>
    </row>
    <row r="424" spans="1:4" x14ac:dyDescent="0.25">
      <c r="A424" s="239">
        <v>46092.361226851855</v>
      </c>
      <c r="B424" s="214" t="s">
        <v>2505</v>
      </c>
      <c r="C424" s="214" t="s">
        <v>2489</v>
      </c>
      <c r="D424" s="214">
        <v>385</v>
      </c>
    </row>
    <row r="425" spans="1:4" x14ac:dyDescent="0.25">
      <c r="A425" s="239">
        <v>46092.361226851855</v>
      </c>
      <c r="B425" s="214" t="s">
        <v>2505</v>
      </c>
      <c r="C425" s="214" t="s">
        <v>2488</v>
      </c>
      <c r="D425" s="214">
        <v>384</v>
      </c>
    </row>
    <row r="426" spans="1:4" x14ac:dyDescent="0.25">
      <c r="A426" s="239">
        <v>46092.361226851855</v>
      </c>
      <c r="B426" s="214" t="s">
        <v>2505</v>
      </c>
      <c r="C426" s="214" t="s">
        <v>2487</v>
      </c>
      <c r="D426" s="214">
        <v>383</v>
      </c>
    </row>
    <row r="427" spans="1:4" x14ac:dyDescent="0.25">
      <c r="A427" s="239">
        <v>46092.361226851855</v>
      </c>
      <c r="B427" s="214" t="s">
        <v>2505</v>
      </c>
      <c r="C427" s="214" t="s">
        <v>2486</v>
      </c>
      <c r="D427" s="214">
        <v>382</v>
      </c>
    </row>
    <row r="428" spans="1:4" x14ac:dyDescent="0.25">
      <c r="A428" s="239">
        <v>46092.361226851855</v>
      </c>
      <c r="B428" s="214" t="s">
        <v>2505</v>
      </c>
      <c r="C428" s="214" t="s">
        <v>2485</v>
      </c>
      <c r="D428" s="214">
        <v>381</v>
      </c>
    </row>
    <row r="429" spans="1:4" x14ac:dyDescent="0.25">
      <c r="A429" s="239">
        <v>46092.361226851855</v>
      </c>
      <c r="B429" s="214" t="s">
        <v>2505</v>
      </c>
      <c r="C429" s="214" t="s">
        <v>2484</v>
      </c>
      <c r="D429" s="214">
        <v>380</v>
      </c>
    </row>
    <row r="430" spans="1:4" x14ac:dyDescent="0.25">
      <c r="A430" s="239">
        <v>46092.361226851855</v>
      </c>
      <c r="B430" s="214" t="s">
        <v>2505</v>
      </c>
      <c r="C430" s="214" t="s">
        <v>2483</v>
      </c>
      <c r="D430" s="214">
        <v>379</v>
      </c>
    </row>
    <row r="431" spans="1:4" x14ac:dyDescent="0.25">
      <c r="A431" s="239">
        <v>46092.361226851855</v>
      </c>
      <c r="B431" s="214" t="s">
        <v>2505</v>
      </c>
      <c r="C431" s="214" t="s">
        <v>2482</v>
      </c>
      <c r="D431" s="214">
        <v>378</v>
      </c>
    </row>
    <row r="432" spans="1:4" x14ac:dyDescent="0.25">
      <c r="A432" s="239">
        <v>46092.361226851855</v>
      </c>
      <c r="B432" s="214" t="s">
        <v>2505</v>
      </c>
      <c r="C432" s="214" t="s">
        <v>2481</v>
      </c>
      <c r="D432" s="214">
        <v>377</v>
      </c>
    </row>
    <row r="433" spans="1:4" x14ac:dyDescent="0.25">
      <c r="A433" s="239">
        <v>46092.361226851855</v>
      </c>
      <c r="B433" s="214" t="s">
        <v>2505</v>
      </c>
      <c r="C433" s="214" t="s">
        <v>2480</v>
      </c>
      <c r="D433" s="214">
        <v>376</v>
      </c>
    </row>
    <row r="434" spans="1:4" x14ac:dyDescent="0.25">
      <c r="A434" s="239">
        <v>46092.361226851855</v>
      </c>
      <c r="B434" s="214" t="s">
        <v>2505</v>
      </c>
      <c r="C434" s="214" t="s">
        <v>2479</v>
      </c>
      <c r="D434" s="214">
        <v>375</v>
      </c>
    </row>
    <row r="435" spans="1:4" x14ac:dyDescent="0.25">
      <c r="A435" s="239">
        <v>46092.361226851855</v>
      </c>
      <c r="B435" s="214" t="s">
        <v>2505</v>
      </c>
      <c r="C435" s="214" t="s">
        <v>2478</v>
      </c>
      <c r="D435" s="214">
        <v>374</v>
      </c>
    </row>
    <row r="436" spans="1:4" x14ac:dyDescent="0.25">
      <c r="A436" s="239">
        <v>46092.361226851855</v>
      </c>
      <c r="B436" s="214" t="s">
        <v>2505</v>
      </c>
      <c r="C436" s="214" t="s">
        <v>2477</v>
      </c>
      <c r="D436" s="214">
        <v>373</v>
      </c>
    </row>
    <row r="437" spans="1:4" x14ac:dyDescent="0.25">
      <c r="A437" s="239">
        <v>46092.361226851855</v>
      </c>
      <c r="B437" s="214" t="s">
        <v>2505</v>
      </c>
      <c r="C437" s="214" t="s">
        <v>2476</v>
      </c>
      <c r="D437" s="214">
        <v>372</v>
      </c>
    </row>
    <row r="438" spans="1:4" x14ac:dyDescent="0.25">
      <c r="A438" s="239">
        <v>46092.361226851855</v>
      </c>
      <c r="B438" s="214" t="s">
        <v>2505</v>
      </c>
      <c r="C438" s="214" t="s">
        <v>2475</v>
      </c>
      <c r="D438" s="214">
        <v>371</v>
      </c>
    </row>
    <row r="439" spans="1:4" x14ac:dyDescent="0.25">
      <c r="A439" s="239">
        <v>46092.361226851855</v>
      </c>
      <c r="B439" s="214" t="s">
        <v>2505</v>
      </c>
      <c r="C439" s="214" t="s">
        <v>2474</v>
      </c>
      <c r="D439" s="214">
        <v>370</v>
      </c>
    </row>
    <row r="440" spans="1:4" x14ac:dyDescent="0.25">
      <c r="A440" s="239">
        <v>46092.361226851855</v>
      </c>
      <c r="B440" s="214" t="s">
        <v>2505</v>
      </c>
      <c r="C440" s="214" t="s">
        <v>2473</v>
      </c>
      <c r="D440" s="214">
        <v>369</v>
      </c>
    </row>
    <row r="441" spans="1:4" x14ac:dyDescent="0.25">
      <c r="A441" s="239">
        <v>46092.361226851855</v>
      </c>
      <c r="B441" s="214" t="s">
        <v>2505</v>
      </c>
      <c r="C441" s="214" t="s">
        <v>2472</v>
      </c>
      <c r="D441" s="214">
        <v>368</v>
      </c>
    </row>
    <row r="442" spans="1:4" x14ac:dyDescent="0.25">
      <c r="A442" s="239">
        <v>46092.361226851855</v>
      </c>
      <c r="B442" s="214" t="s">
        <v>2505</v>
      </c>
      <c r="C442" s="214" t="s">
        <v>2471</v>
      </c>
      <c r="D442" s="214">
        <v>367</v>
      </c>
    </row>
    <row r="443" spans="1:4" x14ac:dyDescent="0.25">
      <c r="A443" s="239">
        <v>46092.361226851855</v>
      </c>
      <c r="B443" s="214" t="s">
        <v>2505</v>
      </c>
      <c r="C443" s="214" t="s">
        <v>2470</v>
      </c>
      <c r="D443" s="214">
        <v>366</v>
      </c>
    </row>
    <row r="444" spans="1:4" x14ac:dyDescent="0.25">
      <c r="A444" s="239">
        <v>46092.361226851855</v>
      </c>
      <c r="B444" s="214" t="s">
        <v>2505</v>
      </c>
      <c r="C444" s="214" t="s">
        <v>2469</v>
      </c>
      <c r="D444" s="214">
        <v>365</v>
      </c>
    </row>
    <row r="445" spans="1:4" x14ac:dyDescent="0.25">
      <c r="A445" s="239">
        <v>46092.361226851855</v>
      </c>
      <c r="B445" s="214" t="s">
        <v>2505</v>
      </c>
      <c r="C445" s="214" t="s">
        <v>2468</v>
      </c>
      <c r="D445" s="214">
        <v>364</v>
      </c>
    </row>
    <row r="446" spans="1:4" x14ac:dyDescent="0.25">
      <c r="A446" s="239">
        <v>46092.361226851855</v>
      </c>
      <c r="B446" s="214" t="s">
        <v>2505</v>
      </c>
      <c r="C446" s="214" t="s">
        <v>2467</v>
      </c>
      <c r="D446" s="214">
        <v>363</v>
      </c>
    </row>
    <row r="447" spans="1:4" x14ac:dyDescent="0.25">
      <c r="A447" s="239">
        <v>46092.361226851855</v>
      </c>
      <c r="B447" s="214" t="s">
        <v>2505</v>
      </c>
      <c r="C447" s="214" t="s">
        <v>2466</v>
      </c>
      <c r="D447" s="214">
        <v>362</v>
      </c>
    </row>
    <row r="448" spans="1:4" x14ac:dyDescent="0.25">
      <c r="A448" s="239">
        <v>46092.361226851855</v>
      </c>
      <c r="B448" s="214" t="s">
        <v>2505</v>
      </c>
      <c r="C448" s="214" t="s">
        <v>2465</v>
      </c>
      <c r="D448" s="214">
        <v>361</v>
      </c>
    </row>
    <row r="449" spans="1:4" x14ac:dyDescent="0.25">
      <c r="A449" s="239">
        <v>46092.361226851855</v>
      </c>
      <c r="B449" s="214" t="s">
        <v>2505</v>
      </c>
      <c r="C449" s="214" t="s">
        <v>2464</v>
      </c>
      <c r="D449" s="214">
        <v>360</v>
      </c>
    </row>
    <row r="450" spans="1:4" x14ac:dyDescent="0.25">
      <c r="A450" s="239">
        <v>46092.361226851855</v>
      </c>
      <c r="B450" s="214" t="s">
        <v>2505</v>
      </c>
      <c r="C450" s="214" t="s">
        <v>2463</v>
      </c>
      <c r="D450" s="214">
        <v>359</v>
      </c>
    </row>
    <row r="451" spans="1:4" x14ac:dyDescent="0.25">
      <c r="A451" s="239">
        <v>46092.361226851855</v>
      </c>
      <c r="B451" s="214" t="s">
        <v>2505</v>
      </c>
      <c r="C451" s="214" t="s">
        <v>2462</v>
      </c>
      <c r="D451" s="214">
        <v>358</v>
      </c>
    </row>
    <row r="452" spans="1:4" x14ac:dyDescent="0.25">
      <c r="A452" s="239">
        <v>46092.361226851855</v>
      </c>
      <c r="B452" s="214" t="s">
        <v>2505</v>
      </c>
      <c r="C452" s="214" t="s">
        <v>2461</v>
      </c>
      <c r="D452" s="214">
        <v>357</v>
      </c>
    </row>
    <row r="453" spans="1:4" x14ac:dyDescent="0.25">
      <c r="A453" s="239">
        <v>46092.361226851855</v>
      </c>
      <c r="B453" s="214" t="s">
        <v>2505</v>
      </c>
      <c r="C453" s="214" t="s">
        <v>2460</v>
      </c>
      <c r="D453" s="214">
        <v>356</v>
      </c>
    </row>
    <row r="454" spans="1:4" x14ac:dyDescent="0.25">
      <c r="A454" s="239">
        <v>46092.361226851855</v>
      </c>
      <c r="B454" s="214" t="s">
        <v>2505</v>
      </c>
      <c r="C454" s="214" t="s">
        <v>2459</v>
      </c>
      <c r="D454" s="214">
        <v>355</v>
      </c>
    </row>
    <row r="455" spans="1:4" x14ac:dyDescent="0.25">
      <c r="A455" s="239">
        <v>46092.361226851855</v>
      </c>
      <c r="B455" s="214" t="s">
        <v>2505</v>
      </c>
      <c r="C455" s="214" t="s">
        <v>2458</v>
      </c>
      <c r="D455" s="214">
        <v>354</v>
      </c>
    </row>
    <row r="456" spans="1:4" x14ac:dyDescent="0.25">
      <c r="A456" s="239">
        <v>46092.361226851855</v>
      </c>
      <c r="B456" s="214" t="s">
        <v>2505</v>
      </c>
      <c r="C456" s="214" t="s">
        <v>2457</v>
      </c>
      <c r="D456" s="214">
        <v>353</v>
      </c>
    </row>
    <row r="457" spans="1:4" x14ac:dyDescent="0.25">
      <c r="A457" s="239">
        <v>46092.361226851855</v>
      </c>
      <c r="B457" s="214" t="s">
        <v>2505</v>
      </c>
      <c r="C457" s="214" t="s">
        <v>2456</v>
      </c>
      <c r="D457" s="214">
        <v>352</v>
      </c>
    </row>
    <row r="458" spans="1:4" x14ac:dyDescent="0.25">
      <c r="A458" s="239">
        <v>46092.361226851855</v>
      </c>
      <c r="B458" s="214" t="s">
        <v>2505</v>
      </c>
      <c r="C458" s="214" t="s">
        <v>2455</v>
      </c>
      <c r="D458" s="214">
        <v>351</v>
      </c>
    </row>
    <row r="459" spans="1:4" x14ac:dyDescent="0.25">
      <c r="A459" s="239">
        <v>46092.361226851855</v>
      </c>
      <c r="B459" s="214" t="s">
        <v>2505</v>
      </c>
      <c r="C459" s="214" t="s">
        <v>2454</v>
      </c>
      <c r="D459" s="214">
        <v>350</v>
      </c>
    </row>
    <row r="460" spans="1:4" x14ac:dyDescent="0.25">
      <c r="A460" s="239">
        <v>46092.361226851855</v>
      </c>
      <c r="B460" s="214" t="s">
        <v>2505</v>
      </c>
      <c r="C460" s="214" t="s">
        <v>2453</v>
      </c>
      <c r="D460" s="214">
        <v>349</v>
      </c>
    </row>
    <row r="461" spans="1:4" x14ac:dyDescent="0.25">
      <c r="A461" s="239">
        <v>46092.361226851855</v>
      </c>
      <c r="B461" s="214" t="s">
        <v>2505</v>
      </c>
      <c r="C461" s="214" t="s">
        <v>2452</v>
      </c>
      <c r="D461" s="214">
        <v>348</v>
      </c>
    </row>
    <row r="462" spans="1:4" x14ac:dyDescent="0.25">
      <c r="A462" s="239">
        <v>46092.361226851855</v>
      </c>
      <c r="B462" s="214" t="s">
        <v>2505</v>
      </c>
      <c r="C462" s="214" t="s">
        <v>2451</v>
      </c>
      <c r="D462" s="214">
        <v>347</v>
      </c>
    </row>
    <row r="463" spans="1:4" x14ac:dyDescent="0.25">
      <c r="A463" s="239">
        <v>46092.354351851849</v>
      </c>
      <c r="B463" s="214" t="s">
        <v>2505</v>
      </c>
      <c r="C463" s="214" t="s">
        <v>2327</v>
      </c>
      <c r="D463" s="214">
        <v>223</v>
      </c>
    </row>
    <row r="464" spans="1:4" x14ac:dyDescent="0.25">
      <c r="A464" s="239">
        <v>46092.354351851849</v>
      </c>
      <c r="B464" s="214" t="s">
        <v>2505</v>
      </c>
      <c r="C464" s="214" t="s">
        <v>2326</v>
      </c>
      <c r="D464" s="214">
        <v>222</v>
      </c>
    </row>
    <row r="465" spans="1:4" x14ac:dyDescent="0.25">
      <c r="A465" s="239">
        <v>46092.354351851849</v>
      </c>
      <c r="B465" s="214" t="s">
        <v>2505</v>
      </c>
      <c r="C465" s="214" t="s">
        <v>2325</v>
      </c>
      <c r="D465" s="214">
        <v>221</v>
      </c>
    </row>
    <row r="466" spans="1:4" x14ac:dyDescent="0.25">
      <c r="A466" s="239">
        <v>46092.354351851849</v>
      </c>
      <c r="B466" s="214" t="s">
        <v>2505</v>
      </c>
      <c r="C466" s="214" t="s">
        <v>2324</v>
      </c>
      <c r="D466" s="214">
        <v>220</v>
      </c>
    </row>
    <row r="467" spans="1:4" x14ac:dyDescent="0.25">
      <c r="A467" s="239">
        <v>46092.354351851849</v>
      </c>
      <c r="B467" s="214" t="s">
        <v>2505</v>
      </c>
      <c r="C467" s="214" t="s">
        <v>2323</v>
      </c>
      <c r="D467" s="214">
        <v>219</v>
      </c>
    </row>
    <row r="468" spans="1:4" x14ac:dyDescent="0.25">
      <c r="A468" s="239">
        <v>46092.354351851849</v>
      </c>
      <c r="B468" s="214" t="s">
        <v>2505</v>
      </c>
      <c r="C468" s="214" t="s">
        <v>2322</v>
      </c>
      <c r="D468" s="214">
        <v>218</v>
      </c>
    </row>
    <row r="469" spans="1:4" x14ac:dyDescent="0.25">
      <c r="A469" s="239">
        <v>46092.354351851849</v>
      </c>
      <c r="B469" s="214" t="s">
        <v>2505</v>
      </c>
      <c r="C469" s="214" t="s">
        <v>2321</v>
      </c>
      <c r="D469" s="214">
        <v>217</v>
      </c>
    </row>
    <row r="470" spans="1:4" x14ac:dyDescent="0.25">
      <c r="A470" s="239">
        <v>46092.354351851849</v>
      </c>
      <c r="B470" s="214" t="s">
        <v>2505</v>
      </c>
      <c r="C470" s="214" t="s">
        <v>2320</v>
      </c>
      <c r="D470" s="214">
        <v>216</v>
      </c>
    </row>
    <row r="471" spans="1:4" x14ac:dyDescent="0.25">
      <c r="A471" s="239">
        <v>46092.354351851849</v>
      </c>
      <c r="B471" s="214" t="s">
        <v>2505</v>
      </c>
      <c r="C471" s="214" t="s">
        <v>2319</v>
      </c>
      <c r="D471" s="214">
        <v>215</v>
      </c>
    </row>
    <row r="472" spans="1:4" x14ac:dyDescent="0.25">
      <c r="A472" s="239">
        <v>46092.354351851849</v>
      </c>
      <c r="B472" s="214" t="s">
        <v>2505</v>
      </c>
      <c r="C472" s="214" t="s">
        <v>2318</v>
      </c>
      <c r="D472" s="214">
        <v>214</v>
      </c>
    </row>
    <row r="473" spans="1:4" x14ac:dyDescent="0.25">
      <c r="A473" s="239">
        <v>46092.354351851849</v>
      </c>
      <c r="B473" s="214" t="s">
        <v>2505</v>
      </c>
      <c r="C473" s="214" t="s">
        <v>2317</v>
      </c>
      <c r="D473" s="214">
        <v>213</v>
      </c>
    </row>
    <row r="474" spans="1:4" x14ac:dyDescent="0.25">
      <c r="A474" s="239">
        <v>46092.354351851849</v>
      </c>
      <c r="B474" s="214" t="s">
        <v>2505</v>
      </c>
      <c r="C474" s="214" t="s">
        <v>2316</v>
      </c>
      <c r="D474" s="214">
        <v>212</v>
      </c>
    </row>
    <row r="475" spans="1:4" x14ac:dyDescent="0.25">
      <c r="A475" s="239">
        <v>46092.354351851849</v>
      </c>
      <c r="B475" s="214" t="s">
        <v>2505</v>
      </c>
      <c r="C475" s="214" t="s">
        <v>2315</v>
      </c>
      <c r="D475" s="214">
        <v>211</v>
      </c>
    </row>
    <row r="476" spans="1:4" x14ac:dyDescent="0.25">
      <c r="A476" s="239">
        <v>46092.354351851849</v>
      </c>
      <c r="B476" s="214" t="s">
        <v>2505</v>
      </c>
      <c r="C476" s="214" t="s">
        <v>2314</v>
      </c>
      <c r="D476" s="214">
        <v>210</v>
      </c>
    </row>
    <row r="477" spans="1:4" x14ac:dyDescent="0.25">
      <c r="A477" s="239">
        <v>46092.354351851849</v>
      </c>
      <c r="B477" s="214" t="s">
        <v>2505</v>
      </c>
      <c r="C477" s="214" t="s">
        <v>2313</v>
      </c>
      <c r="D477" s="214">
        <v>209</v>
      </c>
    </row>
    <row r="478" spans="1:4" x14ac:dyDescent="0.25">
      <c r="A478" s="239">
        <v>46092.354351851849</v>
      </c>
      <c r="B478" s="214" t="s">
        <v>2505</v>
      </c>
      <c r="C478" s="214" t="s">
        <v>2312</v>
      </c>
      <c r="D478" s="214">
        <v>208</v>
      </c>
    </row>
    <row r="479" spans="1:4" x14ac:dyDescent="0.25">
      <c r="A479" s="239">
        <v>46092.354351851849</v>
      </c>
      <c r="B479" s="214" t="s">
        <v>2505</v>
      </c>
      <c r="C479" s="214" t="s">
        <v>2311</v>
      </c>
      <c r="D479" s="214">
        <v>207</v>
      </c>
    </row>
    <row r="480" spans="1:4" x14ac:dyDescent="0.25">
      <c r="A480" s="239">
        <v>46092.354351851849</v>
      </c>
      <c r="B480" s="214" t="s">
        <v>2505</v>
      </c>
      <c r="C480" s="214" t="s">
        <v>2310</v>
      </c>
      <c r="D480" s="214">
        <v>206</v>
      </c>
    </row>
    <row r="481" spans="1:4" x14ac:dyDescent="0.25">
      <c r="A481" s="239">
        <v>46092.354351851849</v>
      </c>
      <c r="B481" s="214" t="s">
        <v>2505</v>
      </c>
      <c r="C481" s="214" t="s">
        <v>2309</v>
      </c>
      <c r="D481" s="214">
        <v>205</v>
      </c>
    </row>
    <row r="482" spans="1:4" x14ac:dyDescent="0.25">
      <c r="A482" s="239">
        <v>46092.354351851849</v>
      </c>
      <c r="B482" s="214" t="s">
        <v>2505</v>
      </c>
      <c r="C482" s="214" t="s">
        <v>2308</v>
      </c>
      <c r="D482" s="214">
        <v>204</v>
      </c>
    </row>
    <row r="483" spans="1:4" x14ac:dyDescent="0.25">
      <c r="A483" s="239">
        <v>46092.354351851849</v>
      </c>
      <c r="B483" s="214" t="s">
        <v>2505</v>
      </c>
      <c r="C483" s="214" t="s">
        <v>2307</v>
      </c>
      <c r="D483" s="214">
        <v>203</v>
      </c>
    </row>
    <row r="484" spans="1:4" x14ac:dyDescent="0.25">
      <c r="A484" s="239">
        <v>46092.354351851849</v>
      </c>
      <c r="B484" s="214" t="s">
        <v>2505</v>
      </c>
      <c r="C484" s="214" t="s">
        <v>2306</v>
      </c>
      <c r="D484" s="214">
        <v>202</v>
      </c>
    </row>
    <row r="485" spans="1:4" x14ac:dyDescent="0.25">
      <c r="A485" s="239">
        <v>46092.354351851849</v>
      </c>
      <c r="B485" s="214" t="s">
        <v>2505</v>
      </c>
      <c r="C485" s="214" t="s">
        <v>2305</v>
      </c>
      <c r="D485" s="214">
        <v>201</v>
      </c>
    </row>
    <row r="486" spans="1:4" x14ac:dyDescent="0.25">
      <c r="A486" s="239">
        <v>46092.354351851849</v>
      </c>
      <c r="B486" s="214" t="s">
        <v>2505</v>
      </c>
      <c r="C486" s="214" t="s">
        <v>2304</v>
      </c>
      <c r="D486" s="214">
        <v>200</v>
      </c>
    </row>
    <row r="487" spans="1:4" x14ac:dyDescent="0.25">
      <c r="A487" s="239">
        <v>46092.354351851849</v>
      </c>
      <c r="B487" s="214" t="s">
        <v>2505</v>
      </c>
      <c r="C487" s="214" t="s">
        <v>2303</v>
      </c>
      <c r="D487" s="214">
        <v>199</v>
      </c>
    </row>
    <row r="488" spans="1:4" x14ac:dyDescent="0.25">
      <c r="A488" s="239">
        <v>46092.354351851849</v>
      </c>
      <c r="B488" s="214" t="s">
        <v>2505</v>
      </c>
      <c r="C488" s="214" t="s">
        <v>2302</v>
      </c>
      <c r="D488" s="214">
        <v>198</v>
      </c>
    </row>
    <row r="489" spans="1:4" x14ac:dyDescent="0.25">
      <c r="A489" s="239">
        <v>46092.354351851849</v>
      </c>
      <c r="B489" s="214" t="s">
        <v>2505</v>
      </c>
      <c r="C489" s="214" t="s">
        <v>2301</v>
      </c>
      <c r="D489" s="214">
        <v>197</v>
      </c>
    </row>
    <row r="490" spans="1:4" x14ac:dyDescent="0.25">
      <c r="A490" s="239">
        <v>46092.354351851849</v>
      </c>
      <c r="B490" s="214" t="s">
        <v>2505</v>
      </c>
      <c r="C490" s="214" t="s">
        <v>2300</v>
      </c>
      <c r="D490" s="214">
        <v>196</v>
      </c>
    </row>
    <row r="491" spans="1:4" x14ac:dyDescent="0.25">
      <c r="A491" s="239">
        <v>46092.354351851849</v>
      </c>
      <c r="B491" s="214" t="s">
        <v>2505</v>
      </c>
      <c r="C491" s="214" t="s">
        <v>2299</v>
      </c>
      <c r="D491" s="214">
        <v>195</v>
      </c>
    </row>
    <row r="492" spans="1:4" x14ac:dyDescent="0.25">
      <c r="A492" s="239">
        <v>46092.354351851849</v>
      </c>
      <c r="B492" s="214" t="s">
        <v>2505</v>
      </c>
      <c r="C492" s="214" t="s">
        <v>2298</v>
      </c>
      <c r="D492" s="214">
        <v>194</v>
      </c>
    </row>
    <row r="493" spans="1:4" x14ac:dyDescent="0.25">
      <c r="A493" s="239">
        <v>46092.354351851849</v>
      </c>
      <c r="B493" s="214" t="s">
        <v>2505</v>
      </c>
      <c r="C493" s="214" t="s">
        <v>2297</v>
      </c>
      <c r="D493" s="214">
        <v>193</v>
      </c>
    </row>
    <row r="494" spans="1:4" x14ac:dyDescent="0.25">
      <c r="A494" s="239">
        <v>46092.354351851849</v>
      </c>
      <c r="B494" s="214" t="s">
        <v>2505</v>
      </c>
      <c r="C494" s="214" t="s">
        <v>2296</v>
      </c>
      <c r="D494" s="214">
        <v>192</v>
      </c>
    </row>
    <row r="495" spans="1:4" x14ac:dyDescent="0.25">
      <c r="A495" s="239">
        <v>46092.354351851849</v>
      </c>
      <c r="B495" s="214" t="s">
        <v>2505</v>
      </c>
      <c r="C495" s="214" t="s">
        <v>2295</v>
      </c>
      <c r="D495" s="214">
        <v>191</v>
      </c>
    </row>
    <row r="496" spans="1:4" x14ac:dyDescent="0.25">
      <c r="A496" s="239">
        <v>46092.354351851849</v>
      </c>
      <c r="B496" s="214" t="s">
        <v>2505</v>
      </c>
      <c r="C496" s="214" t="s">
        <v>2294</v>
      </c>
      <c r="D496" s="214">
        <v>190</v>
      </c>
    </row>
    <row r="497" spans="1:4" x14ac:dyDescent="0.25">
      <c r="A497" s="239">
        <v>46092.354351851849</v>
      </c>
      <c r="B497" s="214" t="s">
        <v>2505</v>
      </c>
      <c r="C497" s="214" t="s">
        <v>2293</v>
      </c>
      <c r="D497" s="214">
        <v>189</v>
      </c>
    </row>
    <row r="498" spans="1:4" x14ac:dyDescent="0.25">
      <c r="A498" s="239">
        <v>46092.354351851849</v>
      </c>
      <c r="B498" s="214" t="s">
        <v>2505</v>
      </c>
      <c r="C498" s="214" t="s">
        <v>2292</v>
      </c>
      <c r="D498" s="214">
        <v>188</v>
      </c>
    </row>
    <row r="499" spans="1:4" x14ac:dyDescent="0.25">
      <c r="A499" s="239">
        <v>46092.354351851849</v>
      </c>
      <c r="B499" s="214" t="s">
        <v>2505</v>
      </c>
      <c r="C499" s="214" t="s">
        <v>2291</v>
      </c>
      <c r="D499" s="214">
        <v>187</v>
      </c>
    </row>
    <row r="500" spans="1:4" x14ac:dyDescent="0.25">
      <c r="A500" s="239">
        <v>46092.354351851849</v>
      </c>
      <c r="B500" s="214" t="s">
        <v>2505</v>
      </c>
      <c r="C500" s="214" t="s">
        <v>2290</v>
      </c>
      <c r="D500" s="214">
        <v>186</v>
      </c>
    </row>
    <row r="501" spans="1:4" x14ac:dyDescent="0.25">
      <c r="A501" s="239">
        <v>46092.354351851849</v>
      </c>
      <c r="B501" s="214" t="s">
        <v>2505</v>
      </c>
      <c r="C501" s="214" t="s">
        <v>2289</v>
      </c>
      <c r="D501" s="214">
        <v>185</v>
      </c>
    </row>
    <row r="502" spans="1:4" x14ac:dyDescent="0.25">
      <c r="A502" s="239">
        <v>46092.354351851849</v>
      </c>
      <c r="B502" s="214" t="s">
        <v>2505</v>
      </c>
      <c r="C502" s="214" t="s">
        <v>2288</v>
      </c>
      <c r="D502" s="214">
        <v>184</v>
      </c>
    </row>
    <row r="503" spans="1:4" x14ac:dyDescent="0.25">
      <c r="A503" s="239">
        <v>46092.354351851849</v>
      </c>
      <c r="B503" s="214" t="s">
        <v>2505</v>
      </c>
      <c r="C503" s="214" t="s">
        <v>2287</v>
      </c>
      <c r="D503" s="214">
        <v>183</v>
      </c>
    </row>
    <row r="504" spans="1:4" x14ac:dyDescent="0.25">
      <c r="A504" s="239">
        <v>46092.354351851849</v>
      </c>
      <c r="B504" s="214" t="s">
        <v>2505</v>
      </c>
      <c r="C504" s="214" t="s">
        <v>2286</v>
      </c>
      <c r="D504" s="214">
        <v>182</v>
      </c>
    </row>
    <row r="505" spans="1:4" x14ac:dyDescent="0.25">
      <c r="A505" s="239">
        <v>46092.354351851849</v>
      </c>
      <c r="B505" s="214" t="s">
        <v>2505</v>
      </c>
      <c r="C505" s="214" t="s">
        <v>2285</v>
      </c>
      <c r="D505" s="214">
        <v>181</v>
      </c>
    </row>
    <row r="506" spans="1:4" x14ac:dyDescent="0.25">
      <c r="A506" s="239">
        <v>46092.354351851849</v>
      </c>
      <c r="B506" s="214" t="s">
        <v>2505</v>
      </c>
      <c r="C506" s="214" t="s">
        <v>2284</v>
      </c>
      <c r="D506" s="214">
        <v>180</v>
      </c>
    </row>
    <row r="507" spans="1:4" x14ac:dyDescent="0.25">
      <c r="A507" s="239">
        <v>46092.354351851849</v>
      </c>
      <c r="B507" s="214" t="s">
        <v>2505</v>
      </c>
      <c r="C507" s="214" t="s">
        <v>2283</v>
      </c>
      <c r="D507" s="214">
        <v>179</v>
      </c>
    </row>
    <row r="508" spans="1:4" x14ac:dyDescent="0.25">
      <c r="A508" s="239">
        <v>46092.354351851849</v>
      </c>
      <c r="B508" s="214" t="s">
        <v>2505</v>
      </c>
      <c r="C508" s="214" t="s">
        <v>2282</v>
      </c>
      <c r="D508" s="214">
        <v>178</v>
      </c>
    </row>
    <row r="509" spans="1:4" x14ac:dyDescent="0.25">
      <c r="A509" s="239">
        <v>46092.354351851849</v>
      </c>
      <c r="B509" s="214" t="s">
        <v>2505</v>
      </c>
      <c r="C509" s="214" t="s">
        <v>2281</v>
      </c>
      <c r="D509" s="214">
        <v>177</v>
      </c>
    </row>
    <row r="510" spans="1:4" x14ac:dyDescent="0.25">
      <c r="A510" s="239">
        <v>46092.354351851849</v>
      </c>
      <c r="B510" s="214" t="s">
        <v>2505</v>
      </c>
      <c r="C510" s="214" t="s">
        <v>2280</v>
      </c>
      <c r="D510" s="214">
        <v>176</v>
      </c>
    </row>
    <row r="511" spans="1:4" x14ac:dyDescent="0.25">
      <c r="A511" s="239">
        <v>46092.354351851849</v>
      </c>
      <c r="B511" s="214" t="s">
        <v>2505</v>
      </c>
      <c r="C511" s="214" t="s">
        <v>2279</v>
      </c>
      <c r="D511" s="214">
        <v>175</v>
      </c>
    </row>
    <row r="512" spans="1:4" x14ac:dyDescent="0.25">
      <c r="A512" s="239">
        <v>46092.354351851849</v>
      </c>
      <c r="B512" s="214" t="s">
        <v>2505</v>
      </c>
      <c r="C512" s="214" t="s">
        <v>2278</v>
      </c>
      <c r="D512" s="214">
        <v>174</v>
      </c>
    </row>
    <row r="513" spans="1:4" x14ac:dyDescent="0.25">
      <c r="A513" s="239">
        <v>46092.354351851849</v>
      </c>
      <c r="B513" s="214" t="s">
        <v>2505</v>
      </c>
      <c r="C513" s="214" t="s">
        <v>2277</v>
      </c>
      <c r="D513" s="214">
        <v>173</v>
      </c>
    </row>
    <row r="514" spans="1:4" x14ac:dyDescent="0.25">
      <c r="A514" s="239">
        <v>46092.354351851849</v>
      </c>
      <c r="B514" s="214" t="s">
        <v>2505</v>
      </c>
      <c r="C514" s="214" t="s">
        <v>2276</v>
      </c>
      <c r="D514" s="214">
        <v>172</v>
      </c>
    </row>
    <row r="515" spans="1:4" x14ac:dyDescent="0.25">
      <c r="A515" s="239">
        <v>46092.354351851849</v>
      </c>
      <c r="B515" s="214" t="s">
        <v>2505</v>
      </c>
      <c r="C515" s="214" t="s">
        <v>2275</v>
      </c>
      <c r="D515" s="214">
        <v>171</v>
      </c>
    </row>
    <row r="516" spans="1:4" x14ac:dyDescent="0.25">
      <c r="A516" s="239">
        <v>46092.354351851849</v>
      </c>
      <c r="B516" s="214" t="s">
        <v>2505</v>
      </c>
      <c r="C516" s="214" t="s">
        <v>2274</v>
      </c>
      <c r="D516" s="214">
        <v>170</v>
      </c>
    </row>
    <row r="517" spans="1:4" x14ac:dyDescent="0.25">
      <c r="A517" s="239">
        <v>46092.354351851849</v>
      </c>
      <c r="B517" s="214" t="s">
        <v>2505</v>
      </c>
      <c r="C517" s="214" t="s">
        <v>2273</v>
      </c>
      <c r="D517" s="214">
        <v>169</v>
      </c>
    </row>
    <row r="518" spans="1:4" x14ac:dyDescent="0.25">
      <c r="A518" s="239">
        <v>46092.354351851849</v>
      </c>
      <c r="B518" s="214" t="s">
        <v>2505</v>
      </c>
      <c r="C518" s="214" t="s">
        <v>2272</v>
      </c>
      <c r="D518" s="214">
        <v>168</v>
      </c>
    </row>
    <row r="519" spans="1:4" x14ac:dyDescent="0.25">
      <c r="A519" s="239">
        <v>46092.354351851849</v>
      </c>
      <c r="B519" s="214" t="s">
        <v>2505</v>
      </c>
      <c r="C519" s="214" t="s">
        <v>2271</v>
      </c>
      <c r="D519" s="214">
        <v>167</v>
      </c>
    </row>
    <row r="520" spans="1:4" x14ac:dyDescent="0.25">
      <c r="A520" s="239">
        <v>46092.354351851849</v>
      </c>
      <c r="B520" s="214" t="s">
        <v>2505</v>
      </c>
      <c r="C520" s="214" t="s">
        <v>2270</v>
      </c>
      <c r="D520" s="214">
        <v>166</v>
      </c>
    </row>
    <row r="521" spans="1:4" x14ac:dyDescent="0.25">
      <c r="A521" s="239">
        <v>46092.354351851849</v>
      </c>
      <c r="B521" s="214" t="s">
        <v>2505</v>
      </c>
      <c r="C521" s="214" t="s">
        <v>2269</v>
      </c>
      <c r="D521" s="214">
        <v>165</v>
      </c>
    </row>
    <row r="522" spans="1:4" x14ac:dyDescent="0.25">
      <c r="A522" s="239">
        <v>46092.354351851849</v>
      </c>
      <c r="B522" s="214" t="s">
        <v>2505</v>
      </c>
      <c r="C522" s="214" t="s">
        <v>2268</v>
      </c>
      <c r="D522" s="214">
        <v>164</v>
      </c>
    </row>
    <row r="523" spans="1:4" x14ac:dyDescent="0.25">
      <c r="A523" s="239">
        <v>46092.354351851849</v>
      </c>
      <c r="B523" s="214" t="s">
        <v>2505</v>
      </c>
      <c r="C523" s="214" t="s">
        <v>2267</v>
      </c>
      <c r="D523" s="214">
        <v>163</v>
      </c>
    </row>
    <row r="524" spans="1:4" x14ac:dyDescent="0.25">
      <c r="A524" s="239">
        <v>46092.354351851849</v>
      </c>
      <c r="B524" s="214" t="s">
        <v>2505</v>
      </c>
      <c r="C524" s="214" t="s">
        <v>2266</v>
      </c>
      <c r="D524" s="214">
        <v>162</v>
      </c>
    </row>
    <row r="525" spans="1:4" x14ac:dyDescent="0.25">
      <c r="A525" s="239">
        <v>46092.354351851849</v>
      </c>
      <c r="B525" s="214" t="s">
        <v>2505</v>
      </c>
      <c r="C525" s="214" t="s">
        <v>2265</v>
      </c>
      <c r="D525" s="214">
        <v>161</v>
      </c>
    </row>
    <row r="526" spans="1:4" x14ac:dyDescent="0.25">
      <c r="A526" s="239">
        <v>46092.354351851849</v>
      </c>
      <c r="B526" s="214" t="s">
        <v>2505</v>
      </c>
      <c r="C526" s="214" t="s">
        <v>2264</v>
      </c>
      <c r="D526" s="214">
        <v>160</v>
      </c>
    </row>
    <row r="527" spans="1:4" x14ac:dyDescent="0.25">
      <c r="A527" s="239">
        <v>46092.354351851849</v>
      </c>
      <c r="B527" s="214" t="s">
        <v>2505</v>
      </c>
      <c r="C527" s="214" t="s">
        <v>2263</v>
      </c>
      <c r="D527" s="214">
        <v>159</v>
      </c>
    </row>
    <row r="528" spans="1:4" x14ac:dyDescent="0.25">
      <c r="A528" s="239">
        <v>46092.354351851849</v>
      </c>
      <c r="B528" s="214" t="s">
        <v>2505</v>
      </c>
      <c r="C528" s="214" t="s">
        <v>2262</v>
      </c>
      <c r="D528" s="214">
        <v>158</v>
      </c>
    </row>
    <row r="529" spans="1:4" x14ac:dyDescent="0.25">
      <c r="A529" s="239">
        <v>46092.354351851849</v>
      </c>
      <c r="B529" s="214" t="s">
        <v>2505</v>
      </c>
      <c r="C529" s="214" t="s">
        <v>2261</v>
      </c>
      <c r="D529" s="214">
        <v>157</v>
      </c>
    </row>
    <row r="530" spans="1:4" x14ac:dyDescent="0.25">
      <c r="A530" s="239">
        <v>46092.354351851849</v>
      </c>
      <c r="B530" s="214" t="s">
        <v>2505</v>
      </c>
      <c r="C530" s="214" t="s">
        <v>2260</v>
      </c>
      <c r="D530" s="214">
        <v>156</v>
      </c>
    </row>
    <row r="531" spans="1:4" x14ac:dyDescent="0.25">
      <c r="A531" s="239">
        <v>46092.354351851849</v>
      </c>
      <c r="B531" s="214" t="s">
        <v>2505</v>
      </c>
      <c r="C531" s="214" t="s">
        <v>2259</v>
      </c>
      <c r="D531" s="214">
        <v>155</v>
      </c>
    </row>
    <row r="532" spans="1:4" x14ac:dyDescent="0.25">
      <c r="A532" s="239">
        <v>46092.354351851849</v>
      </c>
      <c r="B532" s="214" t="s">
        <v>2505</v>
      </c>
      <c r="C532" s="214" t="s">
        <v>2258</v>
      </c>
      <c r="D532" s="214">
        <v>154</v>
      </c>
    </row>
    <row r="533" spans="1:4" x14ac:dyDescent="0.25">
      <c r="A533" s="239">
        <v>46092.354351851849</v>
      </c>
      <c r="B533" s="214" t="s">
        <v>2505</v>
      </c>
      <c r="C533" s="214" t="s">
        <v>2257</v>
      </c>
      <c r="D533" s="214">
        <v>153</v>
      </c>
    </row>
    <row r="534" spans="1:4" x14ac:dyDescent="0.25">
      <c r="A534" s="239">
        <v>46092.354351851849</v>
      </c>
      <c r="B534" s="214" t="s">
        <v>2505</v>
      </c>
      <c r="C534" s="214" t="s">
        <v>2256</v>
      </c>
      <c r="D534" s="214">
        <v>152</v>
      </c>
    </row>
    <row r="535" spans="1:4" x14ac:dyDescent="0.25">
      <c r="A535" s="239">
        <v>46092.354351851849</v>
      </c>
      <c r="B535" s="214" t="s">
        <v>2505</v>
      </c>
      <c r="C535" s="214" t="s">
        <v>2255</v>
      </c>
      <c r="D535" s="214">
        <v>151</v>
      </c>
    </row>
    <row r="536" spans="1:4" x14ac:dyDescent="0.25">
      <c r="A536" s="239">
        <v>46092.354351851849</v>
      </c>
      <c r="B536" s="214" t="s">
        <v>2505</v>
      </c>
      <c r="C536" s="214" t="s">
        <v>2254</v>
      </c>
      <c r="D536" s="214">
        <v>150</v>
      </c>
    </row>
    <row r="537" spans="1:4" x14ac:dyDescent="0.25">
      <c r="A537" s="239">
        <v>46092.354351851849</v>
      </c>
      <c r="B537" s="214" t="s">
        <v>2505</v>
      </c>
      <c r="C537" s="214" t="s">
        <v>2253</v>
      </c>
      <c r="D537" s="214">
        <v>149</v>
      </c>
    </row>
    <row r="538" spans="1:4" x14ac:dyDescent="0.25">
      <c r="A538" s="239">
        <v>46092.354351851849</v>
      </c>
      <c r="B538" s="214" t="s">
        <v>2505</v>
      </c>
      <c r="C538" s="214" t="s">
        <v>2252</v>
      </c>
      <c r="D538" s="214">
        <v>148</v>
      </c>
    </row>
    <row r="539" spans="1:4" x14ac:dyDescent="0.25">
      <c r="A539" s="239">
        <v>46092.354351851849</v>
      </c>
      <c r="B539" s="214" t="s">
        <v>2505</v>
      </c>
      <c r="C539" s="214" t="s">
        <v>2251</v>
      </c>
      <c r="D539" s="214">
        <v>147</v>
      </c>
    </row>
    <row r="540" spans="1:4" x14ac:dyDescent="0.25">
      <c r="A540" s="239">
        <v>46092.354351851849</v>
      </c>
      <c r="B540" s="214" t="s">
        <v>2505</v>
      </c>
      <c r="C540" s="214" t="s">
        <v>2250</v>
      </c>
      <c r="D540" s="214">
        <v>146</v>
      </c>
    </row>
    <row r="541" spans="1:4" x14ac:dyDescent="0.25">
      <c r="A541" s="239">
        <v>46092.354351851849</v>
      </c>
      <c r="B541" s="214" t="s">
        <v>2505</v>
      </c>
      <c r="C541" s="214" t="s">
        <v>2249</v>
      </c>
      <c r="D541" s="214">
        <v>145</v>
      </c>
    </row>
    <row r="542" spans="1:4" x14ac:dyDescent="0.25">
      <c r="A542" s="239">
        <v>46092.354351851849</v>
      </c>
      <c r="B542" s="214" t="s">
        <v>2505</v>
      </c>
      <c r="C542" s="214" t="s">
        <v>2248</v>
      </c>
      <c r="D542" s="214">
        <v>144</v>
      </c>
    </row>
    <row r="543" spans="1:4" x14ac:dyDescent="0.25">
      <c r="A543" s="239">
        <v>46092.354351851849</v>
      </c>
      <c r="B543" s="214" t="s">
        <v>2505</v>
      </c>
      <c r="C543" s="214" t="s">
        <v>2247</v>
      </c>
      <c r="D543" s="214">
        <v>143</v>
      </c>
    </row>
    <row r="544" spans="1:4" x14ac:dyDescent="0.25">
      <c r="A544" s="239">
        <v>46092.354351851849</v>
      </c>
      <c r="B544" s="214" t="s">
        <v>2505</v>
      </c>
      <c r="C544" s="214" t="s">
        <v>2246</v>
      </c>
      <c r="D544" s="214">
        <v>142</v>
      </c>
    </row>
    <row r="545" spans="1:4" x14ac:dyDescent="0.25">
      <c r="A545" s="239">
        <v>46092.354351851849</v>
      </c>
      <c r="B545" s="214" t="s">
        <v>2505</v>
      </c>
      <c r="C545" s="214" t="s">
        <v>2245</v>
      </c>
      <c r="D545" s="214">
        <v>141</v>
      </c>
    </row>
    <row r="546" spans="1:4" x14ac:dyDescent="0.25">
      <c r="A546" s="239">
        <v>46092.354351851849</v>
      </c>
      <c r="B546" s="214" t="s">
        <v>2505</v>
      </c>
      <c r="C546" s="214" t="s">
        <v>2244</v>
      </c>
      <c r="D546" s="214">
        <v>140</v>
      </c>
    </row>
    <row r="547" spans="1:4" x14ac:dyDescent="0.25">
      <c r="A547" s="239">
        <v>46092.354351851849</v>
      </c>
      <c r="B547" s="214" t="s">
        <v>2505</v>
      </c>
      <c r="C547" s="214" t="s">
        <v>2243</v>
      </c>
      <c r="D547" s="214">
        <v>139</v>
      </c>
    </row>
    <row r="548" spans="1:4" x14ac:dyDescent="0.25">
      <c r="A548" s="239">
        <v>46092.354351851849</v>
      </c>
      <c r="B548" s="214" t="s">
        <v>2505</v>
      </c>
      <c r="C548" s="214" t="s">
        <v>2242</v>
      </c>
      <c r="D548" s="214">
        <v>138</v>
      </c>
    </row>
    <row r="549" spans="1:4" x14ac:dyDescent="0.25">
      <c r="A549" s="239">
        <v>46092.354351851849</v>
      </c>
      <c r="B549" s="214" t="s">
        <v>2505</v>
      </c>
      <c r="C549" s="214" t="s">
        <v>2241</v>
      </c>
      <c r="D549" s="214">
        <v>137</v>
      </c>
    </row>
    <row r="550" spans="1:4" x14ac:dyDescent="0.25">
      <c r="A550" s="239">
        <v>46092.354351851849</v>
      </c>
      <c r="B550" s="214" t="s">
        <v>2505</v>
      </c>
      <c r="C550" s="214" t="s">
        <v>2240</v>
      </c>
      <c r="D550" s="214">
        <v>136</v>
      </c>
    </row>
    <row r="551" spans="1:4" x14ac:dyDescent="0.25">
      <c r="A551" s="239">
        <v>46092.354351851849</v>
      </c>
      <c r="B551" s="214" t="s">
        <v>2505</v>
      </c>
      <c r="C551" s="214" t="s">
        <v>2239</v>
      </c>
      <c r="D551" s="214">
        <v>135</v>
      </c>
    </row>
    <row r="552" spans="1:4" x14ac:dyDescent="0.25">
      <c r="A552" s="239">
        <v>46092.354351851849</v>
      </c>
      <c r="B552" s="214" t="s">
        <v>2505</v>
      </c>
      <c r="C552" s="214" t="s">
        <v>2238</v>
      </c>
      <c r="D552" s="214">
        <v>134</v>
      </c>
    </row>
    <row r="553" spans="1:4" x14ac:dyDescent="0.25">
      <c r="A553" s="239">
        <v>46092.354351851849</v>
      </c>
      <c r="B553" s="214" t="s">
        <v>2505</v>
      </c>
      <c r="C553" s="214" t="s">
        <v>2237</v>
      </c>
      <c r="D553" s="214">
        <v>133</v>
      </c>
    </row>
    <row r="554" spans="1:4" x14ac:dyDescent="0.25">
      <c r="A554" s="239">
        <v>46092.354351851849</v>
      </c>
      <c r="B554" s="214" t="s">
        <v>2505</v>
      </c>
      <c r="C554" s="214" t="s">
        <v>2236</v>
      </c>
      <c r="D554" s="214">
        <v>132</v>
      </c>
    </row>
    <row r="555" spans="1:4" x14ac:dyDescent="0.25">
      <c r="A555" s="239">
        <v>46092.354351851849</v>
      </c>
      <c r="B555" s="214" t="s">
        <v>2505</v>
      </c>
      <c r="C555" s="214" t="s">
        <v>2235</v>
      </c>
      <c r="D555" s="214">
        <v>131</v>
      </c>
    </row>
    <row r="556" spans="1:4" x14ac:dyDescent="0.25">
      <c r="A556" s="239">
        <v>46092.354351851849</v>
      </c>
      <c r="B556" s="214" t="s">
        <v>2505</v>
      </c>
      <c r="C556" s="214" t="s">
        <v>2234</v>
      </c>
      <c r="D556" s="214">
        <v>130</v>
      </c>
    </row>
    <row r="557" spans="1:4" x14ac:dyDescent="0.25">
      <c r="A557" s="239">
        <v>46092.354351851849</v>
      </c>
      <c r="B557" s="214" t="s">
        <v>2505</v>
      </c>
      <c r="C557" s="214" t="s">
        <v>2233</v>
      </c>
      <c r="D557" s="214">
        <v>129</v>
      </c>
    </row>
    <row r="558" spans="1:4" x14ac:dyDescent="0.25">
      <c r="A558" s="239">
        <v>46092.354351851849</v>
      </c>
      <c r="B558" s="214" t="s">
        <v>2505</v>
      </c>
      <c r="C558" s="214" t="s">
        <v>2232</v>
      </c>
      <c r="D558" s="214">
        <v>128</v>
      </c>
    </row>
    <row r="559" spans="1:4" x14ac:dyDescent="0.25">
      <c r="A559" s="239">
        <v>46092.354351851849</v>
      </c>
      <c r="B559" s="214" t="s">
        <v>2505</v>
      </c>
      <c r="C559" s="214" t="s">
        <v>2231</v>
      </c>
      <c r="D559" s="214">
        <v>127</v>
      </c>
    </row>
    <row r="560" spans="1:4" x14ac:dyDescent="0.25">
      <c r="A560" s="239">
        <v>46092.354351851849</v>
      </c>
      <c r="B560" s="214" t="s">
        <v>2505</v>
      </c>
      <c r="C560" s="214" t="s">
        <v>2230</v>
      </c>
      <c r="D560" s="214">
        <v>126</v>
      </c>
    </row>
    <row r="561" spans="1:4" x14ac:dyDescent="0.25">
      <c r="A561" s="239">
        <v>46092.354351851849</v>
      </c>
      <c r="B561" s="214" t="s">
        <v>2505</v>
      </c>
      <c r="C561" s="214" t="s">
        <v>2229</v>
      </c>
      <c r="D561" s="214">
        <v>125</v>
      </c>
    </row>
    <row r="562" spans="1:4" x14ac:dyDescent="0.25">
      <c r="A562" s="239">
        <v>46092.354351851849</v>
      </c>
      <c r="B562" s="214" t="s">
        <v>2505</v>
      </c>
      <c r="C562" s="214" t="s">
        <v>2228</v>
      </c>
      <c r="D562" s="214">
        <v>124</v>
      </c>
    </row>
    <row r="563" spans="1:4" x14ac:dyDescent="0.25">
      <c r="A563" s="239">
        <v>46092.354351851849</v>
      </c>
      <c r="B563" s="214" t="s">
        <v>2505</v>
      </c>
      <c r="C563" s="214" t="s">
        <v>2227</v>
      </c>
      <c r="D563" s="214">
        <v>123</v>
      </c>
    </row>
    <row r="564" spans="1:4" x14ac:dyDescent="0.25">
      <c r="A564" s="239">
        <v>46092.354351851849</v>
      </c>
      <c r="B564" s="214" t="s">
        <v>2505</v>
      </c>
      <c r="C564" s="214" t="s">
        <v>2226</v>
      </c>
      <c r="D564" s="214">
        <v>122</v>
      </c>
    </row>
    <row r="565" spans="1:4" x14ac:dyDescent="0.25">
      <c r="A565" s="239">
        <v>46092.354351851849</v>
      </c>
      <c r="B565" s="214" t="s">
        <v>2505</v>
      </c>
      <c r="C565" s="214" t="s">
        <v>2225</v>
      </c>
      <c r="D565" s="214">
        <v>121</v>
      </c>
    </row>
    <row r="566" spans="1:4" x14ac:dyDescent="0.25">
      <c r="A566" s="239">
        <v>46092.354351851849</v>
      </c>
      <c r="B566" s="214" t="s">
        <v>2505</v>
      </c>
      <c r="C566" s="214" t="s">
        <v>2224</v>
      </c>
      <c r="D566" s="214">
        <v>120</v>
      </c>
    </row>
    <row r="567" spans="1:4" x14ac:dyDescent="0.25">
      <c r="A567" s="239">
        <v>46092.354351851849</v>
      </c>
      <c r="B567" s="214" t="s">
        <v>2505</v>
      </c>
      <c r="C567" s="214" t="s">
        <v>2223</v>
      </c>
      <c r="D567" s="214">
        <v>119</v>
      </c>
    </row>
    <row r="568" spans="1:4" x14ac:dyDescent="0.25">
      <c r="A568" s="239">
        <v>46092.354351851849</v>
      </c>
      <c r="B568" s="214" t="s">
        <v>2505</v>
      </c>
      <c r="C568" s="214" t="s">
        <v>2222</v>
      </c>
      <c r="D568" s="214">
        <v>118</v>
      </c>
    </row>
    <row r="569" spans="1:4" x14ac:dyDescent="0.25">
      <c r="A569" s="239">
        <v>46092.354351851849</v>
      </c>
      <c r="B569" s="214" t="s">
        <v>2505</v>
      </c>
      <c r="C569" s="214" t="s">
        <v>2221</v>
      </c>
      <c r="D569" s="214">
        <v>117</v>
      </c>
    </row>
    <row r="570" spans="1:4" x14ac:dyDescent="0.25">
      <c r="A570" s="239">
        <v>46092.354351851849</v>
      </c>
      <c r="B570" s="214" t="s">
        <v>2505</v>
      </c>
      <c r="C570" s="214" t="s">
        <v>2220</v>
      </c>
      <c r="D570" s="214">
        <v>116</v>
      </c>
    </row>
    <row r="571" spans="1:4" x14ac:dyDescent="0.25">
      <c r="A571" s="239">
        <v>46092.354351851849</v>
      </c>
      <c r="B571" s="214" t="s">
        <v>2505</v>
      </c>
      <c r="C571" s="214" t="s">
        <v>2219</v>
      </c>
      <c r="D571" s="214">
        <v>115</v>
      </c>
    </row>
    <row r="572" spans="1:4" x14ac:dyDescent="0.25">
      <c r="A572" s="239">
        <v>46092.354351851849</v>
      </c>
      <c r="B572" s="214" t="s">
        <v>2505</v>
      </c>
      <c r="C572" s="214" t="s">
        <v>2218</v>
      </c>
      <c r="D572" s="214">
        <v>114</v>
      </c>
    </row>
    <row r="573" spans="1:4" x14ac:dyDescent="0.25">
      <c r="A573" s="239">
        <v>46092.354351851849</v>
      </c>
      <c r="B573" s="214" t="s">
        <v>2505</v>
      </c>
      <c r="C573" s="214" t="s">
        <v>2217</v>
      </c>
      <c r="D573" s="214">
        <v>113</v>
      </c>
    </row>
    <row r="574" spans="1:4" x14ac:dyDescent="0.25">
      <c r="A574" s="239">
        <v>46092.354351851849</v>
      </c>
      <c r="B574" s="214" t="s">
        <v>2505</v>
      </c>
      <c r="C574" s="214" t="s">
        <v>2216</v>
      </c>
      <c r="D574" s="214">
        <v>112</v>
      </c>
    </row>
    <row r="575" spans="1:4" x14ac:dyDescent="0.25">
      <c r="A575" s="239">
        <v>46092.354351851849</v>
      </c>
      <c r="B575" s="214" t="s">
        <v>2505</v>
      </c>
      <c r="C575" s="214" t="s">
        <v>2215</v>
      </c>
      <c r="D575" s="214">
        <v>111</v>
      </c>
    </row>
    <row r="576" spans="1:4" x14ac:dyDescent="0.25">
      <c r="A576" s="239">
        <v>46092.354351851849</v>
      </c>
      <c r="B576" s="214" t="s">
        <v>2505</v>
      </c>
      <c r="C576" s="214" t="s">
        <v>2214</v>
      </c>
      <c r="D576" s="214">
        <v>110</v>
      </c>
    </row>
    <row r="577" spans="1:4" x14ac:dyDescent="0.25">
      <c r="A577" s="239">
        <v>46092.354351851849</v>
      </c>
      <c r="B577" s="214" t="s">
        <v>2505</v>
      </c>
      <c r="C577" s="214" t="s">
        <v>2213</v>
      </c>
      <c r="D577" s="214">
        <v>109</v>
      </c>
    </row>
    <row r="578" spans="1:4" x14ac:dyDescent="0.25">
      <c r="A578" s="239">
        <v>46092.354351851849</v>
      </c>
      <c r="B578" s="214" t="s">
        <v>2505</v>
      </c>
      <c r="C578" s="214" t="s">
        <v>2212</v>
      </c>
      <c r="D578" s="214">
        <v>108</v>
      </c>
    </row>
    <row r="579" spans="1:4" x14ac:dyDescent="0.25">
      <c r="A579" s="239">
        <v>46092.354351851849</v>
      </c>
      <c r="B579" s="214" t="s">
        <v>2505</v>
      </c>
      <c r="C579" s="214" t="s">
        <v>2211</v>
      </c>
      <c r="D579" s="214">
        <v>107</v>
      </c>
    </row>
    <row r="580" spans="1:4" x14ac:dyDescent="0.25">
      <c r="A580" s="239">
        <v>46092.354351851849</v>
      </c>
      <c r="B580" s="214" t="s">
        <v>2505</v>
      </c>
      <c r="C580" s="214" t="s">
        <v>2210</v>
      </c>
      <c r="D580" s="214">
        <v>106</v>
      </c>
    </row>
    <row r="581" spans="1:4" x14ac:dyDescent="0.25">
      <c r="A581" s="239">
        <v>46092.354351851849</v>
      </c>
      <c r="B581" s="214" t="s">
        <v>2505</v>
      </c>
      <c r="C581" s="214" t="s">
        <v>2209</v>
      </c>
      <c r="D581" s="214">
        <v>105</v>
      </c>
    </row>
    <row r="582" spans="1:4" x14ac:dyDescent="0.25">
      <c r="A582" s="239">
        <v>46092.354351851849</v>
      </c>
      <c r="B582" s="214" t="s">
        <v>2505</v>
      </c>
      <c r="C582" s="214" t="s">
        <v>2208</v>
      </c>
      <c r="D582" s="214">
        <v>104</v>
      </c>
    </row>
    <row r="583" spans="1:4" x14ac:dyDescent="0.25">
      <c r="A583" s="239">
        <v>46092.354351851849</v>
      </c>
      <c r="B583" s="214" t="s">
        <v>2505</v>
      </c>
      <c r="C583" s="214" t="s">
        <v>2207</v>
      </c>
      <c r="D583" s="214">
        <v>103</v>
      </c>
    </row>
    <row r="584" spans="1:4" x14ac:dyDescent="0.25">
      <c r="A584" s="239">
        <v>46092.354351851849</v>
      </c>
      <c r="B584" s="214" t="s">
        <v>2505</v>
      </c>
      <c r="C584" s="214" t="s">
        <v>2206</v>
      </c>
      <c r="D584" s="214">
        <v>102</v>
      </c>
    </row>
    <row r="585" spans="1:4" x14ac:dyDescent="0.25">
      <c r="A585" s="239">
        <v>46092.354351851849</v>
      </c>
      <c r="B585" s="214" t="s">
        <v>2505</v>
      </c>
      <c r="C585" s="214" t="s">
        <v>2205</v>
      </c>
      <c r="D585" s="214">
        <v>101</v>
      </c>
    </row>
    <row r="586" spans="1:4" x14ac:dyDescent="0.25">
      <c r="A586" s="239">
        <v>46092.354351851849</v>
      </c>
      <c r="B586" s="214" t="s">
        <v>2505</v>
      </c>
      <c r="C586" s="214" t="s">
        <v>2204</v>
      </c>
      <c r="D586" s="214">
        <v>100</v>
      </c>
    </row>
    <row r="587" spans="1:4" x14ac:dyDescent="0.25">
      <c r="A587" s="239">
        <v>46092.354351851849</v>
      </c>
      <c r="B587" s="214" t="s">
        <v>2505</v>
      </c>
      <c r="C587" s="214" t="s">
        <v>2203</v>
      </c>
      <c r="D587" s="214">
        <v>99</v>
      </c>
    </row>
    <row r="588" spans="1:4" x14ac:dyDescent="0.25">
      <c r="A588" s="239">
        <v>46092.354351851849</v>
      </c>
      <c r="B588" s="214" t="s">
        <v>2505</v>
      </c>
      <c r="C588" s="214" t="s">
        <v>2202</v>
      </c>
      <c r="D588" s="214">
        <v>98</v>
      </c>
    </row>
    <row r="589" spans="1:4" x14ac:dyDescent="0.25">
      <c r="A589" s="239">
        <v>46092.354351851849</v>
      </c>
      <c r="B589" s="214" t="s">
        <v>2505</v>
      </c>
      <c r="C589" s="214" t="s">
        <v>2201</v>
      </c>
      <c r="D589" s="214">
        <v>97</v>
      </c>
    </row>
    <row r="590" spans="1:4" x14ac:dyDescent="0.25">
      <c r="A590" s="239">
        <v>46092.354351851849</v>
      </c>
      <c r="B590" s="214" t="s">
        <v>2505</v>
      </c>
      <c r="C590" s="214" t="s">
        <v>2200</v>
      </c>
      <c r="D590" s="214">
        <v>96</v>
      </c>
    </row>
    <row r="591" spans="1:4" x14ac:dyDescent="0.25">
      <c r="A591" s="239">
        <v>46092.354351851849</v>
      </c>
      <c r="B591" s="214" t="s">
        <v>2505</v>
      </c>
      <c r="C591" s="214" t="s">
        <v>2199</v>
      </c>
      <c r="D591" s="214">
        <v>95</v>
      </c>
    </row>
    <row r="592" spans="1:4" x14ac:dyDescent="0.25">
      <c r="A592" s="239">
        <v>46092.354351851849</v>
      </c>
      <c r="B592" s="214" t="s">
        <v>2505</v>
      </c>
      <c r="C592" s="214" t="s">
        <v>2198</v>
      </c>
      <c r="D592" s="214">
        <v>94</v>
      </c>
    </row>
    <row r="593" spans="1:4" x14ac:dyDescent="0.25">
      <c r="A593" s="239">
        <v>46092.354351851849</v>
      </c>
      <c r="B593" s="214" t="s">
        <v>2505</v>
      </c>
      <c r="C593" s="214" t="s">
        <v>2197</v>
      </c>
      <c r="D593" s="214">
        <v>93</v>
      </c>
    </row>
    <row r="594" spans="1:4" x14ac:dyDescent="0.25">
      <c r="A594" s="239">
        <v>46092.354351851849</v>
      </c>
      <c r="B594" s="214" t="s">
        <v>2505</v>
      </c>
      <c r="C594" s="214" t="s">
        <v>2196</v>
      </c>
      <c r="D594" s="214">
        <v>92</v>
      </c>
    </row>
    <row r="595" spans="1:4" x14ac:dyDescent="0.25">
      <c r="A595" s="239">
        <v>46092.354351851849</v>
      </c>
      <c r="B595" s="214" t="s">
        <v>2505</v>
      </c>
      <c r="C595" s="214" t="s">
        <v>2195</v>
      </c>
      <c r="D595" s="214">
        <v>91</v>
      </c>
    </row>
    <row r="596" spans="1:4" x14ac:dyDescent="0.25">
      <c r="A596" s="239">
        <v>46092.354351851849</v>
      </c>
      <c r="B596" s="214" t="s">
        <v>2505</v>
      </c>
      <c r="C596" s="214" t="s">
        <v>2194</v>
      </c>
      <c r="D596" s="214">
        <v>90</v>
      </c>
    </row>
    <row r="597" spans="1:4" x14ac:dyDescent="0.25">
      <c r="A597" s="239">
        <v>46092.354351851849</v>
      </c>
      <c r="B597" s="214" t="s">
        <v>2505</v>
      </c>
      <c r="C597" s="214" t="s">
        <v>2193</v>
      </c>
      <c r="D597" s="214">
        <v>89</v>
      </c>
    </row>
    <row r="598" spans="1:4" x14ac:dyDescent="0.25">
      <c r="A598" s="239">
        <v>46092.354351851849</v>
      </c>
      <c r="B598" s="214" t="s">
        <v>2505</v>
      </c>
      <c r="C598" s="214" t="s">
        <v>2192</v>
      </c>
      <c r="D598" s="214">
        <v>88</v>
      </c>
    </row>
    <row r="599" spans="1:4" x14ac:dyDescent="0.25">
      <c r="A599" s="239">
        <v>46092.354351851849</v>
      </c>
      <c r="B599" s="214" t="s">
        <v>2505</v>
      </c>
      <c r="C599" s="214" t="s">
        <v>2191</v>
      </c>
      <c r="D599" s="214">
        <v>87</v>
      </c>
    </row>
    <row r="600" spans="1:4" x14ac:dyDescent="0.25">
      <c r="A600" s="239">
        <v>46092.354351851849</v>
      </c>
      <c r="B600" s="214" t="s">
        <v>2505</v>
      </c>
      <c r="C600" s="214" t="s">
        <v>2190</v>
      </c>
      <c r="D600" s="214">
        <v>86</v>
      </c>
    </row>
    <row r="601" spans="1:4" x14ac:dyDescent="0.25">
      <c r="A601" s="239">
        <v>46092.354351851849</v>
      </c>
      <c r="B601" s="214" t="s">
        <v>2505</v>
      </c>
      <c r="C601" s="214" t="s">
        <v>2189</v>
      </c>
      <c r="D601" s="214">
        <v>85</v>
      </c>
    </row>
    <row r="602" spans="1:4" x14ac:dyDescent="0.25">
      <c r="A602" s="239">
        <v>46092.354351851849</v>
      </c>
      <c r="B602" s="214" t="s">
        <v>2505</v>
      </c>
      <c r="C602" s="214" t="s">
        <v>2188</v>
      </c>
      <c r="D602" s="214">
        <v>84</v>
      </c>
    </row>
    <row r="603" spans="1:4" x14ac:dyDescent="0.25">
      <c r="A603" s="239">
        <v>46092.354351851849</v>
      </c>
      <c r="B603" s="214" t="s">
        <v>2505</v>
      </c>
      <c r="C603" s="214" t="s">
        <v>2187</v>
      </c>
      <c r="D603" s="214">
        <v>83</v>
      </c>
    </row>
    <row r="604" spans="1:4" x14ac:dyDescent="0.25">
      <c r="A604" s="239">
        <v>46092.354351851849</v>
      </c>
      <c r="B604" s="214" t="s">
        <v>2505</v>
      </c>
      <c r="C604" s="214" t="s">
        <v>2186</v>
      </c>
      <c r="D604" s="214">
        <v>82</v>
      </c>
    </row>
    <row r="605" spans="1:4" x14ac:dyDescent="0.25">
      <c r="A605" s="239">
        <v>46092.354351851849</v>
      </c>
      <c r="B605" s="214" t="s">
        <v>2505</v>
      </c>
      <c r="C605" s="214" t="s">
        <v>2185</v>
      </c>
      <c r="D605" s="214">
        <v>81</v>
      </c>
    </row>
    <row r="606" spans="1:4" x14ac:dyDescent="0.25">
      <c r="A606" s="239">
        <v>46092.354351851849</v>
      </c>
      <c r="B606" s="214" t="s">
        <v>2505</v>
      </c>
      <c r="C606" s="214" t="s">
        <v>2184</v>
      </c>
      <c r="D606" s="214">
        <v>80</v>
      </c>
    </row>
    <row r="607" spans="1:4" x14ac:dyDescent="0.25">
      <c r="A607" s="239">
        <v>46092.354351851849</v>
      </c>
      <c r="B607" s="214" t="s">
        <v>2505</v>
      </c>
      <c r="C607" s="214" t="s">
        <v>2183</v>
      </c>
      <c r="D607" s="214">
        <v>79</v>
      </c>
    </row>
    <row r="608" spans="1:4" x14ac:dyDescent="0.25">
      <c r="A608" s="239">
        <v>46092.354351851849</v>
      </c>
      <c r="B608" s="214" t="s">
        <v>2505</v>
      </c>
      <c r="C608" s="214" t="s">
        <v>2182</v>
      </c>
      <c r="D608" s="214">
        <v>78</v>
      </c>
    </row>
    <row r="609" spans="1:4" x14ac:dyDescent="0.25">
      <c r="A609" s="239">
        <v>46092.354351851849</v>
      </c>
      <c r="B609" s="214" t="s">
        <v>2505</v>
      </c>
      <c r="C609" s="214" t="s">
        <v>2181</v>
      </c>
      <c r="D609" s="214">
        <v>77</v>
      </c>
    </row>
    <row r="610" spans="1:4" x14ac:dyDescent="0.25">
      <c r="A610" s="239">
        <v>46092.354351851849</v>
      </c>
      <c r="B610" s="214" t="s">
        <v>2505</v>
      </c>
      <c r="C610" s="214" t="s">
        <v>2180</v>
      </c>
      <c r="D610" s="214">
        <v>76</v>
      </c>
    </row>
    <row r="611" spans="1:4" x14ac:dyDescent="0.25">
      <c r="A611" s="239">
        <v>46092.354351851849</v>
      </c>
      <c r="B611" s="214" t="s">
        <v>2505</v>
      </c>
      <c r="C611" s="214" t="s">
        <v>2179</v>
      </c>
      <c r="D611" s="214">
        <v>75</v>
      </c>
    </row>
    <row r="612" spans="1:4" x14ac:dyDescent="0.25">
      <c r="A612" s="239">
        <v>46092.354351851849</v>
      </c>
      <c r="B612" s="214" t="s">
        <v>2505</v>
      </c>
      <c r="C612" s="214" t="s">
        <v>2178</v>
      </c>
      <c r="D612" s="214">
        <v>74</v>
      </c>
    </row>
    <row r="613" spans="1:4" x14ac:dyDescent="0.25">
      <c r="A613" s="239">
        <v>46092.354351851849</v>
      </c>
      <c r="B613" s="214" t="s">
        <v>2505</v>
      </c>
      <c r="C613" s="214" t="s">
        <v>2177</v>
      </c>
      <c r="D613" s="214">
        <v>73</v>
      </c>
    </row>
    <row r="614" spans="1:4" x14ac:dyDescent="0.25">
      <c r="A614" s="239">
        <v>46092.354351851849</v>
      </c>
      <c r="B614" s="214" t="s">
        <v>2505</v>
      </c>
      <c r="C614" s="214" t="s">
        <v>2176</v>
      </c>
      <c r="D614" s="214">
        <v>72</v>
      </c>
    </row>
    <row r="615" spans="1:4" x14ac:dyDescent="0.25">
      <c r="A615" s="239">
        <v>46092.354351851849</v>
      </c>
      <c r="B615" s="214" t="s">
        <v>2505</v>
      </c>
      <c r="C615" s="214" t="s">
        <v>2175</v>
      </c>
      <c r="D615" s="214">
        <v>71</v>
      </c>
    </row>
    <row r="616" spans="1:4" x14ac:dyDescent="0.25">
      <c r="A616" s="239">
        <v>46092.354351851849</v>
      </c>
      <c r="B616" s="214" t="s">
        <v>2505</v>
      </c>
      <c r="C616" s="214" t="s">
        <v>2174</v>
      </c>
      <c r="D616" s="214">
        <v>70</v>
      </c>
    </row>
    <row r="617" spans="1:4" x14ac:dyDescent="0.25">
      <c r="A617" s="239">
        <v>46092.354351851849</v>
      </c>
      <c r="B617" s="214" t="s">
        <v>2505</v>
      </c>
      <c r="C617" s="214" t="s">
        <v>2173</v>
      </c>
      <c r="D617" s="214">
        <v>69</v>
      </c>
    </row>
    <row r="618" spans="1:4" x14ac:dyDescent="0.25">
      <c r="A618" s="239">
        <v>46092.354351851849</v>
      </c>
      <c r="B618" s="214" t="s">
        <v>2505</v>
      </c>
      <c r="C618" s="214" t="s">
        <v>2172</v>
      </c>
      <c r="D618" s="214">
        <v>68</v>
      </c>
    </row>
    <row r="619" spans="1:4" x14ac:dyDescent="0.25">
      <c r="A619" s="239">
        <v>46092.354351851849</v>
      </c>
      <c r="B619" s="214" t="s">
        <v>2505</v>
      </c>
      <c r="C619" s="214" t="s">
        <v>2171</v>
      </c>
      <c r="D619" s="214">
        <v>67</v>
      </c>
    </row>
    <row r="620" spans="1:4" x14ac:dyDescent="0.25">
      <c r="A620" s="239">
        <v>46092.354351851849</v>
      </c>
      <c r="B620" s="214" t="s">
        <v>2505</v>
      </c>
      <c r="C620" s="214" t="s">
        <v>2170</v>
      </c>
      <c r="D620" s="214">
        <v>66</v>
      </c>
    </row>
    <row r="621" spans="1:4" x14ac:dyDescent="0.25">
      <c r="A621" s="239">
        <v>46092.354351851849</v>
      </c>
      <c r="B621" s="214" t="s">
        <v>2505</v>
      </c>
      <c r="C621" s="214" t="s">
        <v>2169</v>
      </c>
      <c r="D621" s="214">
        <v>65</v>
      </c>
    </row>
    <row r="622" spans="1:4" x14ac:dyDescent="0.25">
      <c r="A622" s="239">
        <v>46092.354351851849</v>
      </c>
      <c r="B622" s="214" t="s">
        <v>2505</v>
      </c>
      <c r="C622" s="214" t="s">
        <v>2168</v>
      </c>
      <c r="D622" s="214">
        <v>64</v>
      </c>
    </row>
    <row r="623" spans="1:4" x14ac:dyDescent="0.25">
      <c r="A623" s="239">
        <v>46092.354351851849</v>
      </c>
      <c r="B623" s="214" t="s">
        <v>2505</v>
      </c>
      <c r="C623" s="214" t="s">
        <v>2167</v>
      </c>
      <c r="D623" s="214">
        <v>63</v>
      </c>
    </row>
    <row r="624" spans="1:4" x14ac:dyDescent="0.25">
      <c r="A624" s="239">
        <v>46092.354351851849</v>
      </c>
      <c r="B624" s="214" t="s">
        <v>2505</v>
      </c>
      <c r="C624" s="214" t="s">
        <v>2166</v>
      </c>
      <c r="D624" s="214">
        <v>62</v>
      </c>
    </row>
    <row r="625" spans="1:4" x14ac:dyDescent="0.25">
      <c r="A625" s="239">
        <v>46092.354351851849</v>
      </c>
      <c r="B625" s="214" t="s">
        <v>2505</v>
      </c>
      <c r="C625" s="214" t="s">
        <v>2165</v>
      </c>
      <c r="D625" s="214">
        <v>61</v>
      </c>
    </row>
    <row r="626" spans="1:4" x14ac:dyDescent="0.25">
      <c r="A626" s="239">
        <v>46092.354351851849</v>
      </c>
      <c r="B626" s="214" t="s">
        <v>2505</v>
      </c>
      <c r="C626" s="214" t="s">
        <v>2164</v>
      </c>
      <c r="D626" s="214">
        <v>60</v>
      </c>
    </row>
    <row r="627" spans="1:4" x14ac:dyDescent="0.25">
      <c r="A627" s="239">
        <v>46092.354351851849</v>
      </c>
      <c r="B627" s="214" t="s">
        <v>2505</v>
      </c>
      <c r="C627" s="214" t="s">
        <v>2163</v>
      </c>
      <c r="D627" s="214">
        <v>59</v>
      </c>
    </row>
    <row r="628" spans="1:4" x14ac:dyDescent="0.25">
      <c r="A628" s="239">
        <v>46092.354351851849</v>
      </c>
      <c r="B628" s="214" t="s">
        <v>2505</v>
      </c>
      <c r="C628" s="214" t="s">
        <v>2162</v>
      </c>
      <c r="D628" s="214">
        <v>58</v>
      </c>
    </row>
    <row r="629" spans="1:4" x14ac:dyDescent="0.25">
      <c r="A629" s="239">
        <v>46092.354351851849</v>
      </c>
      <c r="B629" s="214" t="s">
        <v>2505</v>
      </c>
      <c r="C629" s="214" t="s">
        <v>2161</v>
      </c>
      <c r="D629" s="214">
        <v>57</v>
      </c>
    </row>
    <row r="630" spans="1:4" x14ac:dyDescent="0.25">
      <c r="A630" s="239">
        <v>46092.354351851849</v>
      </c>
      <c r="B630" s="214" t="s">
        <v>2505</v>
      </c>
      <c r="C630" s="214" t="s">
        <v>2160</v>
      </c>
      <c r="D630" s="214">
        <v>56</v>
      </c>
    </row>
    <row r="631" spans="1:4" x14ac:dyDescent="0.25">
      <c r="A631" s="239">
        <v>46092.354351851849</v>
      </c>
      <c r="B631" s="214" t="s">
        <v>2505</v>
      </c>
      <c r="C631" s="214" t="s">
        <v>2159</v>
      </c>
      <c r="D631" s="214">
        <v>55</v>
      </c>
    </row>
    <row r="632" spans="1:4" x14ac:dyDescent="0.25">
      <c r="A632" s="239">
        <v>46092.354351851849</v>
      </c>
      <c r="B632" s="214" t="s">
        <v>2505</v>
      </c>
      <c r="C632" s="214" t="s">
        <v>2158</v>
      </c>
      <c r="D632" s="214">
        <v>54</v>
      </c>
    </row>
    <row r="633" spans="1:4" x14ac:dyDescent="0.25">
      <c r="A633" s="239">
        <v>46092.354351851849</v>
      </c>
      <c r="B633" s="214" t="s">
        <v>2505</v>
      </c>
      <c r="C633" s="214" t="s">
        <v>2157</v>
      </c>
      <c r="D633" s="214">
        <v>53</v>
      </c>
    </row>
    <row r="634" spans="1:4" x14ac:dyDescent="0.25">
      <c r="A634" s="239">
        <v>46092.354351851849</v>
      </c>
      <c r="B634" s="214" t="s">
        <v>2505</v>
      </c>
      <c r="C634" s="214" t="s">
        <v>2156</v>
      </c>
      <c r="D634" s="214">
        <v>52</v>
      </c>
    </row>
    <row r="635" spans="1:4" x14ac:dyDescent="0.25">
      <c r="A635" s="239">
        <v>46092.354351851849</v>
      </c>
      <c r="B635" s="214" t="s">
        <v>2505</v>
      </c>
      <c r="C635" s="214" t="s">
        <v>2155</v>
      </c>
      <c r="D635" s="214">
        <v>51</v>
      </c>
    </row>
    <row r="636" spans="1:4" x14ac:dyDescent="0.25">
      <c r="A636" s="239">
        <v>46092.354351851849</v>
      </c>
      <c r="B636" s="214" t="s">
        <v>2505</v>
      </c>
      <c r="C636" s="214" t="s">
        <v>2154</v>
      </c>
      <c r="D636" s="214">
        <v>50</v>
      </c>
    </row>
    <row r="637" spans="1:4" x14ac:dyDescent="0.25">
      <c r="A637" s="239">
        <v>46092.354351851849</v>
      </c>
      <c r="B637" s="214" t="s">
        <v>2505</v>
      </c>
      <c r="C637" s="214" t="s">
        <v>2153</v>
      </c>
      <c r="D637" s="214">
        <v>49</v>
      </c>
    </row>
    <row r="638" spans="1:4" x14ac:dyDescent="0.25">
      <c r="A638" s="239">
        <v>46092.354351851849</v>
      </c>
      <c r="B638" s="214" t="s">
        <v>2505</v>
      </c>
      <c r="C638" s="214" t="s">
        <v>2152</v>
      </c>
      <c r="D638" s="214">
        <v>48</v>
      </c>
    </row>
    <row r="639" spans="1:4" x14ac:dyDescent="0.25">
      <c r="A639" s="239">
        <v>46092.354351851849</v>
      </c>
      <c r="B639" s="214" t="s">
        <v>2505</v>
      </c>
      <c r="C639" s="214" t="s">
        <v>2151</v>
      </c>
      <c r="D639" s="214">
        <v>47</v>
      </c>
    </row>
    <row r="640" spans="1:4" x14ac:dyDescent="0.25">
      <c r="A640" s="239">
        <v>46092.354351851849</v>
      </c>
      <c r="B640" s="214" t="s">
        <v>2505</v>
      </c>
      <c r="C640" s="214" t="s">
        <v>2150</v>
      </c>
      <c r="D640" s="214">
        <v>46</v>
      </c>
    </row>
    <row r="641" spans="1:4" x14ac:dyDescent="0.25">
      <c r="A641" s="239">
        <v>46092.354351851849</v>
      </c>
      <c r="B641" s="214" t="s">
        <v>2505</v>
      </c>
      <c r="C641" s="214" t="s">
        <v>2149</v>
      </c>
      <c r="D641" s="214">
        <v>45</v>
      </c>
    </row>
    <row r="642" spans="1:4" x14ac:dyDescent="0.25">
      <c r="A642" s="239">
        <v>46092.354351851849</v>
      </c>
      <c r="B642" s="214" t="s">
        <v>2505</v>
      </c>
      <c r="C642" s="214" t="s">
        <v>2148</v>
      </c>
      <c r="D642" s="214">
        <v>44</v>
      </c>
    </row>
    <row r="643" spans="1:4" x14ac:dyDescent="0.25">
      <c r="A643" s="239">
        <v>46092.354351851849</v>
      </c>
      <c r="B643" s="214" t="s">
        <v>2505</v>
      </c>
      <c r="C643" s="214" t="s">
        <v>2147</v>
      </c>
      <c r="D643" s="214">
        <v>43</v>
      </c>
    </row>
    <row r="644" spans="1:4" x14ac:dyDescent="0.25">
      <c r="A644" s="239">
        <v>46092.354351851849</v>
      </c>
      <c r="B644" s="214" t="s">
        <v>2505</v>
      </c>
      <c r="C644" s="214" t="s">
        <v>2146</v>
      </c>
      <c r="D644" s="214">
        <v>42</v>
      </c>
    </row>
    <row r="645" spans="1:4" x14ac:dyDescent="0.25">
      <c r="A645" s="239">
        <v>46092.354351851849</v>
      </c>
      <c r="B645" s="214" t="s">
        <v>2505</v>
      </c>
      <c r="C645" s="214" t="s">
        <v>2145</v>
      </c>
      <c r="D645" s="214">
        <v>41</v>
      </c>
    </row>
    <row r="646" spans="1:4" x14ac:dyDescent="0.25">
      <c r="A646" s="239">
        <v>46092.354351851849</v>
      </c>
      <c r="B646" s="214" t="s">
        <v>2505</v>
      </c>
      <c r="C646" s="214" t="s">
        <v>2144</v>
      </c>
      <c r="D646" s="214">
        <v>40</v>
      </c>
    </row>
    <row r="647" spans="1:4" x14ac:dyDescent="0.25">
      <c r="A647" s="239">
        <v>46092.354351851849</v>
      </c>
      <c r="B647" s="214" t="s">
        <v>2505</v>
      </c>
      <c r="C647" s="214" t="s">
        <v>2143</v>
      </c>
      <c r="D647" s="214">
        <v>39</v>
      </c>
    </row>
    <row r="648" spans="1:4" x14ac:dyDescent="0.25">
      <c r="A648" s="239">
        <v>46092.354351851849</v>
      </c>
      <c r="B648" s="214" t="s">
        <v>2505</v>
      </c>
      <c r="C648" s="214" t="s">
        <v>2142</v>
      </c>
      <c r="D648" s="214">
        <v>38</v>
      </c>
    </row>
    <row r="649" spans="1:4" x14ac:dyDescent="0.25">
      <c r="A649" s="239">
        <v>46092.354351851849</v>
      </c>
      <c r="B649" s="214" t="s">
        <v>2505</v>
      </c>
      <c r="C649" s="214" t="s">
        <v>2141</v>
      </c>
      <c r="D649" s="214">
        <v>37</v>
      </c>
    </row>
    <row r="650" spans="1:4" x14ac:dyDescent="0.25">
      <c r="A650" s="239">
        <v>46092.354351851849</v>
      </c>
      <c r="B650" s="214" t="s">
        <v>2505</v>
      </c>
      <c r="C650" s="214" t="s">
        <v>2140</v>
      </c>
      <c r="D650" s="214">
        <v>36</v>
      </c>
    </row>
    <row r="651" spans="1:4" x14ac:dyDescent="0.25">
      <c r="A651" s="239">
        <v>46092.354351851849</v>
      </c>
      <c r="B651" s="214" t="s">
        <v>2505</v>
      </c>
      <c r="C651" s="214" t="s">
        <v>2139</v>
      </c>
      <c r="D651" s="214">
        <v>35</v>
      </c>
    </row>
    <row r="652" spans="1:4" x14ac:dyDescent="0.25">
      <c r="A652" s="239">
        <v>46092.354351851849</v>
      </c>
      <c r="B652" s="214" t="s">
        <v>2505</v>
      </c>
      <c r="C652" s="214" t="s">
        <v>2138</v>
      </c>
      <c r="D652" s="214">
        <v>34</v>
      </c>
    </row>
    <row r="653" spans="1:4" x14ac:dyDescent="0.25">
      <c r="A653" s="239">
        <v>46092.354351851849</v>
      </c>
      <c r="B653" s="214" t="s">
        <v>2505</v>
      </c>
      <c r="C653" s="214" t="s">
        <v>2137</v>
      </c>
      <c r="D653" s="214">
        <v>33</v>
      </c>
    </row>
    <row r="654" spans="1:4" x14ac:dyDescent="0.25">
      <c r="A654" s="239">
        <v>46092.354351851849</v>
      </c>
      <c r="B654" s="214" t="s">
        <v>2505</v>
      </c>
      <c r="C654" s="214" t="s">
        <v>2136</v>
      </c>
      <c r="D654" s="214">
        <v>32</v>
      </c>
    </row>
    <row r="655" spans="1:4" x14ac:dyDescent="0.25">
      <c r="A655" s="239">
        <v>46092.354351851849</v>
      </c>
      <c r="B655" s="214" t="s">
        <v>2505</v>
      </c>
      <c r="C655" s="214" t="s">
        <v>2135</v>
      </c>
      <c r="D655" s="214">
        <v>31</v>
      </c>
    </row>
    <row r="656" spans="1:4" x14ac:dyDescent="0.25">
      <c r="A656" s="239">
        <v>46092.354351851849</v>
      </c>
      <c r="B656" s="214" t="s">
        <v>2505</v>
      </c>
      <c r="C656" s="214" t="s">
        <v>2134</v>
      </c>
      <c r="D656" s="214">
        <v>30</v>
      </c>
    </row>
    <row r="657" spans="1:4" x14ac:dyDescent="0.25">
      <c r="A657" s="239">
        <v>46092.354351851849</v>
      </c>
      <c r="B657" s="214" t="s">
        <v>2505</v>
      </c>
      <c r="C657" s="214" t="s">
        <v>2133</v>
      </c>
      <c r="D657" s="214">
        <v>29</v>
      </c>
    </row>
    <row r="658" spans="1:4" x14ac:dyDescent="0.25">
      <c r="A658" s="239">
        <v>46092.354351851849</v>
      </c>
      <c r="B658" s="214" t="s">
        <v>2505</v>
      </c>
      <c r="C658" s="214" t="s">
        <v>2132</v>
      </c>
      <c r="D658" s="214">
        <v>28</v>
      </c>
    </row>
    <row r="659" spans="1:4" x14ac:dyDescent="0.25">
      <c r="A659" s="239">
        <v>46092.354351851849</v>
      </c>
      <c r="B659" s="214" t="s">
        <v>2505</v>
      </c>
      <c r="C659" s="214" t="s">
        <v>2131</v>
      </c>
      <c r="D659" s="214">
        <v>27</v>
      </c>
    </row>
    <row r="660" spans="1:4" x14ac:dyDescent="0.25">
      <c r="A660" s="239">
        <v>46092.354351851849</v>
      </c>
      <c r="B660" s="214" t="s">
        <v>2505</v>
      </c>
      <c r="C660" s="214" t="s">
        <v>2130</v>
      </c>
      <c r="D660" s="214">
        <v>26</v>
      </c>
    </row>
    <row r="661" spans="1:4" x14ac:dyDescent="0.25">
      <c r="A661" s="239">
        <v>46092.354351851849</v>
      </c>
      <c r="B661" s="214" t="s">
        <v>2505</v>
      </c>
      <c r="C661" s="214" t="s">
        <v>2129</v>
      </c>
      <c r="D661" s="214">
        <v>25</v>
      </c>
    </row>
    <row r="662" spans="1:4" x14ac:dyDescent="0.25">
      <c r="A662" s="239">
        <v>46092.354351851849</v>
      </c>
      <c r="B662" s="214" t="s">
        <v>2505</v>
      </c>
      <c r="C662" s="214" t="s">
        <v>2128</v>
      </c>
      <c r="D662" s="214">
        <v>24</v>
      </c>
    </row>
    <row r="663" spans="1:4" x14ac:dyDescent="0.25">
      <c r="A663" s="239">
        <v>46092.354351851849</v>
      </c>
      <c r="B663" s="214" t="s">
        <v>2505</v>
      </c>
      <c r="C663" s="214" t="s">
        <v>2127</v>
      </c>
      <c r="D663" s="214">
        <v>23</v>
      </c>
    </row>
    <row r="664" spans="1:4" x14ac:dyDescent="0.25">
      <c r="A664" s="239">
        <v>46092.354351851849</v>
      </c>
      <c r="B664" s="214" t="s">
        <v>2505</v>
      </c>
      <c r="C664" s="214" t="s">
        <v>2126</v>
      </c>
      <c r="D664" s="214">
        <v>22</v>
      </c>
    </row>
    <row r="665" spans="1:4" x14ac:dyDescent="0.25">
      <c r="A665" s="239">
        <v>46092.354351851849</v>
      </c>
      <c r="B665" s="214" t="s">
        <v>2505</v>
      </c>
      <c r="C665" s="214" t="s">
        <v>2125</v>
      </c>
      <c r="D665" s="214">
        <v>21</v>
      </c>
    </row>
    <row r="666" spans="1:4" x14ac:dyDescent="0.25">
      <c r="A666" s="239">
        <v>46092.35434027778</v>
      </c>
      <c r="B666" s="214" t="s">
        <v>2505</v>
      </c>
      <c r="C666" s="214" t="s">
        <v>2504</v>
      </c>
      <c r="D666" s="214">
        <v>400</v>
      </c>
    </row>
    <row r="667" spans="1:4" x14ac:dyDescent="0.25">
      <c r="A667" s="239">
        <v>46092.35434027778</v>
      </c>
      <c r="B667" s="214" t="s">
        <v>2505</v>
      </c>
      <c r="C667" s="214" t="s">
        <v>2503</v>
      </c>
      <c r="D667" s="214">
        <v>399</v>
      </c>
    </row>
    <row r="668" spans="1:4" x14ac:dyDescent="0.25">
      <c r="A668" s="239">
        <v>46092.35434027778</v>
      </c>
      <c r="B668" s="214" t="s">
        <v>2505</v>
      </c>
      <c r="C668" s="214" t="s">
        <v>2502</v>
      </c>
      <c r="D668" s="214">
        <v>398</v>
      </c>
    </row>
    <row r="669" spans="1:4" x14ac:dyDescent="0.25">
      <c r="A669" s="239">
        <v>46092.35434027778</v>
      </c>
      <c r="B669" s="214" t="s">
        <v>2505</v>
      </c>
      <c r="C669" s="214" t="s">
        <v>2501</v>
      </c>
      <c r="D669" s="214">
        <v>397</v>
      </c>
    </row>
    <row r="670" spans="1:4" x14ac:dyDescent="0.25">
      <c r="A670" s="239">
        <v>46092.35434027778</v>
      </c>
      <c r="B670" s="214" t="s">
        <v>2505</v>
      </c>
      <c r="C670" s="214" t="s">
        <v>2500</v>
      </c>
      <c r="D670" s="214">
        <v>396</v>
      </c>
    </row>
    <row r="671" spans="1:4" x14ac:dyDescent="0.25">
      <c r="A671" s="239">
        <v>46092.35434027778</v>
      </c>
      <c r="B671" s="214" t="s">
        <v>2505</v>
      </c>
      <c r="C671" s="214" t="s">
        <v>2499</v>
      </c>
      <c r="D671" s="214">
        <v>395</v>
      </c>
    </row>
    <row r="672" spans="1:4" x14ac:dyDescent="0.25">
      <c r="A672" s="239">
        <v>46092.35434027778</v>
      </c>
      <c r="B672" s="214" t="s">
        <v>2505</v>
      </c>
      <c r="C672" s="214" t="s">
        <v>2498</v>
      </c>
      <c r="D672" s="214">
        <v>394</v>
      </c>
    </row>
    <row r="673" spans="1:4" x14ac:dyDescent="0.25">
      <c r="A673" s="239">
        <v>46092.35434027778</v>
      </c>
      <c r="B673" s="214" t="s">
        <v>2505</v>
      </c>
      <c r="C673" s="214" t="s">
        <v>2497</v>
      </c>
      <c r="D673" s="214">
        <v>393</v>
      </c>
    </row>
    <row r="674" spans="1:4" x14ac:dyDescent="0.25">
      <c r="A674" s="239">
        <v>46092.35434027778</v>
      </c>
      <c r="B674" s="214" t="s">
        <v>2505</v>
      </c>
      <c r="C674" s="214" t="s">
        <v>2496</v>
      </c>
      <c r="D674" s="214">
        <v>392</v>
      </c>
    </row>
    <row r="675" spans="1:4" x14ac:dyDescent="0.25">
      <c r="A675" s="239">
        <v>46092.35434027778</v>
      </c>
      <c r="B675" s="214" t="s">
        <v>2505</v>
      </c>
      <c r="C675" s="214" t="s">
        <v>2495</v>
      </c>
      <c r="D675" s="214">
        <v>391</v>
      </c>
    </row>
    <row r="676" spans="1:4" x14ac:dyDescent="0.25">
      <c r="A676" s="239">
        <v>46092.35434027778</v>
      </c>
      <c r="B676" s="214" t="s">
        <v>2505</v>
      </c>
      <c r="C676" s="214" t="s">
        <v>2494</v>
      </c>
      <c r="D676" s="214">
        <v>390</v>
      </c>
    </row>
    <row r="677" spans="1:4" x14ac:dyDescent="0.25">
      <c r="A677" s="239">
        <v>46092.35434027778</v>
      </c>
      <c r="B677" s="214" t="s">
        <v>2505</v>
      </c>
      <c r="C677" s="214" t="s">
        <v>2493</v>
      </c>
      <c r="D677" s="214">
        <v>389</v>
      </c>
    </row>
    <row r="678" spans="1:4" x14ac:dyDescent="0.25">
      <c r="A678" s="239">
        <v>46092.35434027778</v>
      </c>
      <c r="B678" s="214" t="s">
        <v>2505</v>
      </c>
      <c r="C678" s="214" t="s">
        <v>2492</v>
      </c>
      <c r="D678" s="214">
        <v>388</v>
      </c>
    </row>
    <row r="679" spans="1:4" x14ac:dyDescent="0.25">
      <c r="A679" s="239">
        <v>46092.35434027778</v>
      </c>
      <c r="B679" s="214" t="s">
        <v>2505</v>
      </c>
      <c r="C679" s="214" t="s">
        <v>2491</v>
      </c>
      <c r="D679" s="214">
        <v>387</v>
      </c>
    </row>
    <row r="680" spans="1:4" x14ac:dyDescent="0.25">
      <c r="A680" s="239">
        <v>46092.35434027778</v>
      </c>
      <c r="B680" s="214" t="s">
        <v>2505</v>
      </c>
      <c r="C680" s="214" t="s">
        <v>2490</v>
      </c>
      <c r="D680" s="214">
        <v>386</v>
      </c>
    </row>
    <row r="681" spans="1:4" x14ac:dyDescent="0.25">
      <c r="A681" s="239">
        <v>46092.35434027778</v>
      </c>
      <c r="B681" s="214" t="s">
        <v>2505</v>
      </c>
      <c r="C681" s="214" t="s">
        <v>2489</v>
      </c>
      <c r="D681" s="214">
        <v>385</v>
      </c>
    </row>
    <row r="682" spans="1:4" x14ac:dyDescent="0.25">
      <c r="A682" s="239">
        <v>46092.35434027778</v>
      </c>
      <c r="B682" s="214" t="s">
        <v>2505</v>
      </c>
      <c r="C682" s="214" t="s">
        <v>2488</v>
      </c>
      <c r="D682" s="214">
        <v>384</v>
      </c>
    </row>
    <row r="683" spans="1:4" x14ac:dyDescent="0.25">
      <c r="A683" s="239">
        <v>46092.35434027778</v>
      </c>
      <c r="B683" s="214" t="s">
        <v>2505</v>
      </c>
      <c r="C683" s="214" t="s">
        <v>2487</v>
      </c>
      <c r="D683" s="214">
        <v>383</v>
      </c>
    </row>
    <row r="684" spans="1:4" x14ac:dyDescent="0.25">
      <c r="A684" s="239">
        <v>46092.35434027778</v>
      </c>
      <c r="B684" s="214" t="s">
        <v>2505</v>
      </c>
      <c r="C684" s="214" t="s">
        <v>2486</v>
      </c>
      <c r="D684" s="214">
        <v>382</v>
      </c>
    </row>
    <row r="685" spans="1:4" x14ac:dyDescent="0.25">
      <c r="A685" s="239">
        <v>46092.35434027778</v>
      </c>
      <c r="B685" s="214" t="s">
        <v>2505</v>
      </c>
      <c r="C685" s="214" t="s">
        <v>2485</v>
      </c>
      <c r="D685" s="214">
        <v>381</v>
      </c>
    </row>
    <row r="686" spans="1:4" x14ac:dyDescent="0.25">
      <c r="A686" s="239">
        <v>46092.35434027778</v>
      </c>
      <c r="B686" s="214" t="s">
        <v>2505</v>
      </c>
      <c r="C686" s="214" t="s">
        <v>2484</v>
      </c>
      <c r="D686" s="214">
        <v>380</v>
      </c>
    </row>
    <row r="687" spans="1:4" x14ac:dyDescent="0.25">
      <c r="A687" s="239">
        <v>46092.35434027778</v>
      </c>
      <c r="B687" s="214" t="s">
        <v>2505</v>
      </c>
      <c r="C687" s="214" t="s">
        <v>2483</v>
      </c>
      <c r="D687" s="214">
        <v>379</v>
      </c>
    </row>
    <row r="688" spans="1:4" x14ac:dyDescent="0.25">
      <c r="A688" s="239">
        <v>46092.35434027778</v>
      </c>
      <c r="B688" s="214" t="s">
        <v>2505</v>
      </c>
      <c r="C688" s="214" t="s">
        <v>2482</v>
      </c>
      <c r="D688" s="214">
        <v>378</v>
      </c>
    </row>
    <row r="689" spans="1:4" x14ac:dyDescent="0.25">
      <c r="A689" s="239">
        <v>46092.35434027778</v>
      </c>
      <c r="B689" s="214" t="s">
        <v>2505</v>
      </c>
      <c r="C689" s="214" t="s">
        <v>2481</v>
      </c>
      <c r="D689" s="214">
        <v>377</v>
      </c>
    </row>
    <row r="690" spans="1:4" x14ac:dyDescent="0.25">
      <c r="A690" s="239">
        <v>46092.35434027778</v>
      </c>
      <c r="B690" s="214" t="s">
        <v>2505</v>
      </c>
      <c r="C690" s="214" t="s">
        <v>2480</v>
      </c>
      <c r="D690" s="214">
        <v>376</v>
      </c>
    </row>
    <row r="691" spans="1:4" x14ac:dyDescent="0.25">
      <c r="A691" s="239">
        <v>46092.35434027778</v>
      </c>
      <c r="B691" s="214" t="s">
        <v>2505</v>
      </c>
      <c r="C691" s="214" t="s">
        <v>2479</v>
      </c>
      <c r="D691" s="214">
        <v>375</v>
      </c>
    </row>
    <row r="692" spans="1:4" x14ac:dyDescent="0.25">
      <c r="A692" s="239">
        <v>46092.35434027778</v>
      </c>
      <c r="B692" s="214" t="s">
        <v>2505</v>
      </c>
      <c r="C692" s="214" t="s">
        <v>2478</v>
      </c>
      <c r="D692" s="214">
        <v>374</v>
      </c>
    </row>
    <row r="693" spans="1:4" x14ac:dyDescent="0.25">
      <c r="A693" s="239">
        <v>46092.35434027778</v>
      </c>
      <c r="B693" s="214" t="s">
        <v>2505</v>
      </c>
      <c r="C693" s="214" t="s">
        <v>2477</v>
      </c>
      <c r="D693" s="214">
        <v>373</v>
      </c>
    </row>
    <row r="694" spans="1:4" x14ac:dyDescent="0.25">
      <c r="A694" s="239">
        <v>46092.35434027778</v>
      </c>
      <c r="B694" s="214" t="s">
        <v>2505</v>
      </c>
      <c r="C694" s="214" t="s">
        <v>2476</v>
      </c>
      <c r="D694" s="214">
        <v>372</v>
      </c>
    </row>
    <row r="695" spans="1:4" x14ac:dyDescent="0.25">
      <c r="A695" s="239">
        <v>46092.35434027778</v>
      </c>
      <c r="B695" s="214" t="s">
        <v>2505</v>
      </c>
      <c r="C695" s="214" t="s">
        <v>2475</v>
      </c>
      <c r="D695" s="214">
        <v>371</v>
      </c>
    </row>
    <row r="696" spans="1:4" x14ac:dyDescent="0.25">
      <c r="A696" s="239">
        <v>46092.35434027778</v>
      </c>
      <c r="B696" s="214" t="s">
        <v>2505</v>
      </c>
      <c r="C696" s="214" t="s">
        <v>2474</v>
      </c>
      <c r="D696" s="214">
        <v>370</v>
      </c>
    </row>
    <row r="697" spans="1:4" x14ac:dyDescent="0.25">
      <c r="A697" s="239">
        <v>46092.35434027778</v>
      </c>
      <c r="B697" s="214" t="s">
        <v>2505</v>
      </c>
      <c r="C697" s="214" t="s">
        <v>2473</v>
      </c>
      <c r="D697" s="214">
        <v>369</v>
      </c>
    </row>
    <row r="698" spans="1:4" x14ac:dyDescent="0.25">
      <c r="A698" s="239">
        <v>46092.35434027778</v>
      </c>
      <c r="B698" s="214" t="s">
        <v>2505</v>
      </c>
      <c r="C698" s="214" t="s">
        <v>2472</v>
      </c>
      <c r="D698" s="214">
        <v>368</v>
      </c>
    </row>
    <row r="699" spans="1:4" x14ac:dyDescent="0.25">
      <c r="A699" s="239">
        <v>46092.35434027778</v>
      </c>
      <c r="B699" s="214" t="s">
        <v>2505</v>
      </c>
      <c r="C699" s="214" t="s">
        <v>2471</v>
      </c>
      <c r="D699" s="214">
        <v>367</v>
      </c>
    </row>
    <row r="700" spans="1:4" x14ac:dyDescent="0.25">
      <c r="A700" s="239">
        <v>46092.35434027778</v>
      </c>
      <c r="B700" s="214" t="s">
        <v>2505</v>
      </c>
      <c r="C700" s="214" t="s">
        <v>2470</v>
      </c>
      <c r="D700" s="214">
        <v>366</v>
      </c>
    </row>
    <row r="701" spans="1:4" x14ac:dyDescent="0.25">
      <c r="A701" s="239">
        <v>46092.35434027778</v>
      </c>
      <c r="B701" s="214" t="s">
        <v>2505</v>
      </c>
      <c r="C701" s="214" t="s">
        <v>2469</v>
      </c>
      <c r="D701" s="214">
        <v>365</v>
      </c>
    </row>
    <row r="702" spans="1:4" x14ac:dyDescent="0.25">
      <c r="A702" s="239">
        <v>46092.35434027778</v>
      </c>
      <c r="B702" s="214" t="s">
        <v>2505</v>
      </c>
      <c r="C702" s="214" t="s">
        <v>2468</v>
      </c>
      <c r="D702" s="214">
        <v>364</v>
      </c>
    </row>
    <row r="703" spans="1:4" x14ac:dyDescent="0.25">
      <c r="A703" s="239">
        <v>46092.35434027778</v>
      </c>
      <c r="B703" s="214" t="s">
        <v>2505</v>
      </c>
      <c r="C703" s="214" t="s">
        <v>2467</v>
      </c>
      <c r="D703" s="214">
        <v>363</v>
      </c>
    </row>
    <row r="704" spans="1:4" x14ac:dyDescent="0.25">
      <c r="A704" s="239">
        <v>46092.35434027778</v>
      </c>
      <c r="B704" s="214" t="s">
        <v>2505</v>
      </c>
      <c r="C704" s="214" t="s">
        <v>2466</v>
      </c>
      <c r="D704" s="214">
        <v>362</v>
      </c>
    </row>
    <row r="705" spans="1:4" x14ac:dyDescent="0.25">
      <c r="A705" s="239">
        <v>46092.35434027778</v>
      </c>
      <c r="B705" s="214" t="s">
        <v>2505</v>
      </c>
      <c r="C705" s="214" t="s">
        <v>2465</v>
      </c>
      <c r="D705" s="214">
        <v>361</v>
      </c>
    </row>
    <row r="706" spans="1:4" x14ac:dyDescent="0.25">
      <c r="A706" s="239">
        <v>46092.35434027778</v>
      </c>
      <c r="B706" s="214" t="s">
        <v>2505</v>
      </c>
      <c r="C706" s="214" t="s">
        <v>2464</v>
      </c>
      <c r="D706" s="214">
        <v>360</v>
      </c>
    </row>
    <row r="707" spans="1:4" x14ac:dyDescent="0.25">
      <c r="A707" s="239">
        <v>46092.35434027778</v>
      </c>
      <c r="B707" s="214" t="s">
        <v>2505</v>
      </c>
      <c r="C707" s="214" t="s">
        <v>2463</v>
      </c>
      <c r="D707" s="214">
        <v>359</v>
      </c>
    </row>
    <row r="708" spans="1:4" x14ac:dyDescent="0.25">
      <c r="A708" s="239">
        <v>46092.35434027778</v>
      </c>
      <c r="B708" s="214" t="s">
        <v>2505</v>
      </c>
      <c r="C708" s="214" t="s">
        <v>2462</v>
      </c>
      <c r="D708" s="214">
        <v>358</v>
      </c>
    </row>
    <row r="709" spans="1:4" x14ac:dyDescent="0.25">
      <c r="A709" s="239">
        <v>46092.35434027778</v>
      </c>
      <c r="B709" s="214" t="s">
        <v>2505</v>
      </c>
      <c r="C709" s="214" t="s">
        <v>2461</v>
      </c>
      <c r="D709" s="214">
        <v>357</v>
      </c>
    </row>
    <row r="710" spans="1:4" x14ac:dyDescent="0.25">
      <c r="A710" s="239">
        <v>46092.35434027778</v>
      </c>
      <c r="B710" s="214" t="s">
        <v>2505</v>
      </c>
      <c r="C710" s="214" t="s">
        <v>2460</v>
      </c>
      <c r="D710" s="214">
        <v>356</v>
      </c>
    </row>
    <row r="711" spans="1:4" x14ac:dyDescent="0.25">
      <c r="A711" s="239">
        <v>46092.35434027778</v>
      </c>
      <c r="B711" s="214" t="s">
        <v>2505</v>
      </c>
      <c r="C711" s="214" t="s">
        <v>2459</v>
      </c>
      <c r="D711" s="214">
        <v>355</v>
      </c>
    </row>
    <row r="712" spans="1:4" x14ac:dyDescent="0.25">
      <c r="A712" s="239">
        <v>46092.35434027778</v>
      </c>
      <c r="B712" s="214" t="s">
        <v>2505</v>
      </c>
      <c r="C712" s="214" t="s">
        <v>2458</v>
      </c>
      <c r="D712" s="214">
        <v>354</v>
      </c>
    </row>
    <row r="713" spans="1:4" x14ac:dyDescent="0.25">
      <c r="A713" s="239">
        <v>46092.35434027778</v>
      </c>
      <c r="B713" s="214" t="s">
        <v>2505</v>
      </c>
      <c r="C713" s="214" t="s">
        <v>2457</v>
      </c>
      <c r="D713" s="214">
        <v>353</v>
      </c>
    </row>
    <row r="714" spans="1:4" x14ac:dyDescent="0.25">
      <c r="A714" s="239">
        <v>46092.35434027778</v>
      </c>
      <c r="B714" s="214" t="s">
        <v>2505</v>
      </c>
      <c r="C714" s="214" t="s">
        <v>2456</v>
      </c>
      <c r="D714" s="214">
        <v>352</v>
      </c>
    </row>
    <row r="715" spans="1:4" x14ac:dyDescent="0.25">
      <c r="A715" s="239">
        <v>46092.35434027778</v>
      </c>
      <c r="B715" s="214" t="s">
        <v>2505</v>
      </c>
      <c r="C715" s="214" t="s">
        <v>2455</v>
      </c>
      <c r="D715" s="214">
        <v>351</v>
      </c>
    </row>
    <row r="716" spans="1:4" x14ac:dyDescent="0.25">
      <c r="A716" s="239">
        <v>46092.35434027778</v>
      </c>
      <c r="B716" s="214" t="s">
        <v>2505</v>
      </c>
      <c r="C716" s="214" t="s">
        <v>2454</v>
      </c>
      <c r="D716" s="214">
        <v>350</v>
      </c>
    </row>
    <row r="717" spans="1:4" x14ac:dyDescent="0.25">
      <c r="A717" s="239">
        <v>46092.35434027778</v>
      </c>
      <c r="B717" s="214" t="s">
        <v>2505</v>
      </c>
      <c r="C717" s="214" t="s">
        <v>2453</v>
      </c>
      <c r="D717" s="214">
        <v>349</v>
      </c>
    </row>
    <row r="718" spans="1:4" x14ac:dyDescent="0.25">
      <c r="A718" s="239">
        <v>46092.35434027778</v>
      </c>
      <c r="B718" s="214" t="s">
        <v>2505</v>
      </c>
      <c r="C718" s="214" t="s">
        <v>2452</v>
      </c>
      <c r="D718" s="214">
        <v>348</v>
      </c>
    </row>
    <row r="719" spans="1:4" x14ac:dyDescent="0.25">
      <c r="A719" s="239">
        <v>46092.35434027778</v>
      </c>
      <c r="B719" s="214" t="s">
        <v>2505</v>
      </c>
      <c r="C719" s="214" t="s">
        <v>2451</v>
      </c>
      <c r="D719" s="214">
        <v>347</v>
      </c>
    </row>
    <row r="720" spans="1:4" x14ac:dyDescent="0.25">
      <c r="A720" s="239">
        <v>46092.35434027778</v>
      </c>
      <c r="B720" s="214" t="s">
        <v>2505</v>
      </c>
      <c r="C720" s="214" t="s">
        <v>2450</v>
      </c>
      <c r="D720" s="214">
        <v>346</v>
      </c>
    </row>
    <row r="721" spans="1:4" x14ac:dyDescent="0.25">
      <c r="A721" s="239">
        <v>46092.35434027778</v>
      </c>
      <c r="B721" s="214" t="s">
        <v>2505</v>
      </c>
      <c r="C721" s="214" t="s">
        <v>2449</v>
      </c>
      <c r="D721" s="214">
        <v>345</v>
      </c>
    </row>
    <row r="722" spans="1:4" x14ac:dyDescent="0.25">
      <c r="A722" s="239">
        <v>46092.35434027778</v>
      </c>
      <c r="B722" s="214" t="s">
        <v>2505</v>
      </c>
      <c r="C722" s="214" t="s">
        <v>2448</v>
      </c>
      <c r="D722" s="214">
        <v>344</v>
      </c>
    </row>
    <row r="723" spans="1:4" x14ac:dyDescent="0.25">
      <c r="A723" s="239">
        <v>46092.35434027778</v>
      </c>
      <c r="B723" s="214" t="s">
        <v>2505</v>
      </c>
      <c r="C723" s="214" t="s">
        <v>2447</v>
      </c>
      <c r="D723" s="214">
        <v>343</v>
      </c>
    </row>
    <row r="724" spans="1:4" x14ac:dyDescent="0.25">
      <c r="A724" s="239">
        <v>46092.35434027778</v>
      </c>
      <c r="B724" s="214" t="s">
        <v>2505</v>
      </c>
      <c r="C724" s="214" t="s">
        <v>2446</v>
      </c>
      <c r="D724" s="214">
        <v>342</v>
      </c>
    </row>
    <row r="725" spans="1:4" x14ac:dyDescent="0.25">
      <c r="A725" s="239">
        <v>46092.35434027778</v>
      </c>
      <c r="B725" s="214" t="s">
        <v>2505</v>
      </c>
      <c r="C725" s="214" t="s">
        <v>2445</v>
      </c>
      <c r="D725" s="214">
        <v>341</v>
      </c>
    </row>
    <row r="726" spans="1:4" x14ac:dyDescent="0.25">
      <c r="A726" s="239">
        <v>46092.35434027778</v>
      </c>
      <c r="B726" s="214" t="s">
        <v>2505</v>
      </c>
      <c r="C726" s="214" t="s">
        <v>2444</v>
      </c>
      <c r="D726" s="214">
        <v>340</v>
      </c>
    </row>
    <row r="727" spans="1:4" x14ac:dyDescent="0.25">
      <c r="A727" s="239">
        <v>46092.35434027778</v>
      </c>
      <c r="B727" s="214" t="s">
        <v>2505</v>
      </c>
      <c r="C727" s="214" t="s">
        <v>2443</v>
      </c>
      <c r="D727" s="214">
        <v>339</v>
      </c>
    </row>
    <row r="728" spans="1:4" x14ac:dyDescent="0.25">
      <c r="A728" s="239">
        <v>46092.35434027778</v>
      </c>
      <c r="B728" s="214" t="s">
        <v>2505</v>
      </c>
      <c r="C728" s="214" t="s">
        <v>2442</v>
      </c>
      <c r="D728" s="214">
        <v>338</v>
      </c>
    </row>
    <row r="729" spans="1:4" x14ac:dyDescent="0.25">
      <c r="A729" s="239">
        <v>46092.35434027778</v>
      </c>
      <c r="B729" s="214" t="s">
        <v>2505</v>
      </c>
      <c r="C729" s="214" t="s">
        <v>2441</v>
      </c>
      <c r="D729" s="214">
        <v>337</v>
      </c>
    </row>
    <row r="730" spans="1:4" x14ac:dyDescent="0.25">
      <c r="A730" s="239">
        <v>46092.35434027778</v>
      </c>
      <c r="B730" s="214" t="s">
        <v>2505</v>
      </c>
      <c r="C730" s="214" t="s">
        <v>2440</v>
      </c>
      <c r="D730" s="214">
        <v>336</v>
      </c>
    </row>
    <row r="731" spans="1:4" x14ac:dyDescent="0.25">
      <c r="A731" s="239">
        <v>46092.35434027778</v>
      </c>
      <c r="B731" s="214" t="s">
        <v>2505</v>
      </c>
      <c r="C731" s="214" t="s">
        <v>2439</v>
      </c>
      <c r="D731" s="214">
        <v>335</v>
      </c>
    </row>
    <row r="732" spans="1:4" x14ac:dyDescent="0.25">
      <c r="A732" s="239">
        <v>46092.35434027778</v>
      </c>
      <c r="B732" s="214" t="s">
        <v>2505</v>
      </c>
      <c r="C732" s="214" t="s">
        <v>2438</v>
      </c>
      <c r="D732" s="214">
        <v>334</v>
      </c>
    </row>
    <row r="733" spans="1:4" x14ac:dyDescent="0.25">
      <c r="A733" s="239">
        <v>46092.35434027778</v>
      </c>
      <c r="B733" s="214" t="s">
        <v>2505</v>
      </c>
      <c r="C733" s="214" t="s">
        <v>2437</v>
      </c>
      <c r="D733" s="214">
        <v>333</v>
      </c>
    </row>
    <row r="734" spans="1:4" x14ac:dyDescent="0.25">
      <c r="A734" s="239">
        <v>46092.35434027778</v>
      </c>
      <c r="B734" s="214" t="s">
        <v>2505</v>
      </c>
      <c r="C734" s="214" t="s">
        <v>2436</v>
      </c>
      <c r="D734" s="214">
        <v>332</v>
      </c>
    </row>
    <row r="735" spans="1:4" x14ac:dyDescent="0.25">
      <c r="A735" s="239">
        <v>46092.35434027778</v>
      </c>
      <c r="B735" s="214" t="s">
        <v>2505</v>
      </c>
      <c r="C735" s="214" t="s">
        <v>2435</v>
      </c>
      <c r="D735" s="214">
        <v>331</v>
      </c>
    </row>
    <row r="736" spans="1:4" x14ac:dyDescent="0.25">
      <c r="A736" s="239">
        <v>46092.35434027778</v>
      </c>
      <c r="B736" s="214" t="s">
        <v>2505</v>
      </c>
      <c r="C736" s="214" t="s">
        <v>2434</v>
      </c>
      <c r="D736" s="214">
        <v>330</v>
      </c>
    </row>
    <row r="737" spans="1:4" x14ac:dyDescent="0.25">
      <c r="A737" s="239">
        <v>46092.35434027778</v>
      </c>
      <c r="B737" s="214" t="s">
        <v>2505</v>
      </c>
      <c r="C737" s="214" t="s">
        <v>2433</v>
      </c>
      <c r="D737" s="214">
        <v>329</v>
      </c>
    </row>
    <row r="738" spans="1:4" x14ac:dyDescent="0.25">
      <c r="A738" s="239">
        <v>46092.35434027778</v>
      </c>
      <c r="B738" s="214" t="s">
        <v>2505</v>
      </c>
      <c r="C738" s="214" t="s">
        <v>2432</v>
      </c>
      <c r="D738" s="214">
        <v>328</v>
      </c>
    </row>
    <row r="739" spans="1:4" x14ac:dyDescent="0.25">
      <c r="A739" s="239">
        <v>46092.35434027778</v>
      </c>
      <c r="B739" s="214" t="s">
        <v>2505</v>
      </c>
      <c r="C739" s="214" t="s">
        <v>2431</v>
      </c>
      <c r="D739" s="214">
        <v>327</v>
      </c>
    </row>
    <row r="740" spans="1:4" x14ac:dyDescent="0.25">
      <c r="A740" s="239">
        <v>46092.35434027778</v>
      </c>
      <c r="B740" s="214" t="s">
        <v>2505</v>
      </c>
      <c r="C740" s="214" t="s">
        <v>2430</v>
      </c>
      <c r="D740" s="214">
        <v>326</v>
      </c>
    </row>
    <row r="741" spans="1:4" x14ac:dyDescent="0.25">
      <c r="A741" s="239">
        <v>46092.35434027778</v>
      </c>
      <c r="B741" s="214" t="s">
        <v>2505</v>
      </c>
      <c r="C741" s="214" t="s">
        <v>2429</v>
      </c>
      <c r="D741" s="214">
        <v>325</v>
      </c>
    </row>
    <row r="742" spans="1:4" x14ac:dyDescent="0.25">
      <c r="A742" s="239">
        <v>46092.35434027778</v>
      </c>
      <c r="B742" s="214" t="s">
        <v>2505</v>
      </c>
      <c r="C742" s="214" t="s">
        <v>2428</v>
      </c>
      <c r="D742" s="214">
        <v>324</v>
      </c>
    </row>
    <row r="743" spans="1:4" x14ac:dyDescent="0.25">
      <c r="A743" s="239">
        <v>46092.35434027778</v>
      </c>
      <c r="B743" s="214" t="s">
        <v>2505</v>
      </c>
      <c r="C743" s="214" t="s">
        <v>2427</v>
      </c>
      <c r="D743" s="214">
        <v>323</v>
      </c>
    </row>
    <row r="744" spans="1:4" x14ac:dyDescent="0.25">
      <c r="A744" s="239">
        <v>46092.35434027778</v>
      </c>
      <c r="B744" s="214" t="s">
        <v>2505</v>
      </c>
      <c r="C744" s="214" t="s">
        <v>2426</v>
      </c>
      <c r="D744" s="214">
        <v>322</v>
      </c>
    </row>
    <row r="745" spans="1:4" x14ac:dyDescent="0.25">
      <c r="A745" s="239">
        <v>46092.35434027778</v>
      </c>
      <c r="B745" s="214" t="s">
        <v>2505</v>
      </c>
      <c r="C745" s="214" t="s">
        <v>2425</v>
      </c>
      <c r="D745" s="214">
        <v>321</v>
      </c>
    </row>
    <row r="746" spans="1:4" x14ac:dyDescent="0.25">
      <c r="A746" s="239">
        <v>46092.35434027778</v>
      </c>
      <c r="B746" s="214" t="s">
        <v>2505</v>
      </c>
      <c r="C746" s="214" t="s">
        <v>2424</v>
      </c>
      <c r="D746" s="214">
        <v>320</v>
      </c>
    </row>
    <row r="747" spans="1:4" x14ac:dyDescent="0.25">
      <c r="A747" s="239">
        <v>46092.35434027778</v>
      </c>
      <c r="B747" s="214" t="s">
        <v>2505</v>
      </c>
      <c r="C747" s="214" t="s">
        <v>2423</v>
      </c>
      <c r="D747" s="214">
        <v>319</v>
      </c>
    </row>
    <row r="748" spans="1:4" x14ac:dyDescent="0.25">
      <c r="A748" s="239">
        <v>46092.35434027778</v>
      </c>
      <c r="B748" s="214" t="s">
        <v>2505</v>
      </c>
      <c r="C748" s="214" t="s">
        <v>2422</v>
      </c>
      <c r="D748" s="214">
        <v>318</v>
      </c>
    </row>
    <row r="749" spans="1:4" x14ac:dyDescent="0.25">
      <c r="A749" s="239">
        <v>46092.35434027778</v>
      </c>
      <c r="B749" s="214" t="s">
        <v>2505</v>
      </c>
      <c r="C749" s="214" t="s">
        <v>2421</v>
      </c>
      <c r="D749" s="214">
        <v>317</v>
      </c>
    </row>
    <row r="750" spans="1:4" x14ac:dyDescent="0.25">
      <c r="A750" s="239">
        <v>46092.35434027778</v>
      </c>
      <c r="B750" s="214" t="s">
        <v>2505</v>
      </c>
      <c r="C750" s="214" t="s">
        <v>2420</v>
      </c>
      <c r="D750" s="214">
        <v>316</v>
      </c>
    </row>
    <row r="751" spans="1:4" x14ac:dyDescent="0.25">
      <c r="A751" s="239">
        <v>46092.35434027778</v>
      </c>
      <c r="B751" s="214" t="s">
        <v>2505</v>
      </c>
      <c r="C751" s="214" t="s">
        <v>2419</v>
      </c>
      <c r="D751" s="214">
        <v>315</v>
      </c>
    </row>
    <row r="752" spans="1:4" x14ac:dyDescent="0.25">
      <c r="A752" s="239">
        <v>46092.35434027778</v>
      </c>
      <c r="B752" s="214" t="s">
        <v>2505</v>
      </c>
      <c r="C752" s="214" t="s">
        <v>2418</v>
      </c>
      <c r="D752" s="214">
        <v>314</v>
      </c>
    </row>
    <row r="753" spans="1:4" x14ac:dyDescent="0.25">
      <c r="A753" s="239">
        <v>46092.35434027778</v>
      </c>
      <c r="B753" s="214" t="s">
        <v>2505</v>
      </c>
      <c r="C753" s="214" t="s">
        <v>2417</v>
      </c>
      <c r="D753" s="214">
        <v>313</v>
      </c>
    </row>
    <row r="754" spans="1:4" x14ac:dyDescent="0.25">
      <c r="A754" s="239">
        <v>46092.35434027778</v>
      </c>
      <c r="B754" s="214" t="s">
        <v>2505</v>
      </c>
      <c r="C754" s="214" t="s">
        <v>2416</v>
      </c>
      <c r="D754" s="214">
        <v>312</v>
      </c>
    </row>
    <row r="755" spans="1:4" x14ac:dyDescent="0.25">
      <c r="A755" s="239">
        <v>46092.35434027778</v>
      </c>
      <c r="B755" s="214" t="s">
        <v>2505</v>
      </c>
      <c r="C755" s="214" t="s">
        <v>2415</v>
      </c>
      <c r="D755" s="214">
        <v>311</v>
      </c>
    </row>
    <row r="756" spans="1:4" x14ac:dyDescent="0.25">
      <c r="A756" s="239">
        <v>46092.35434027778</v>
      </c>
      <c r="B756" s="214" t="s">
        <v>2505</v>
      </c>
      <c r="C756" s="214" t="s">
        <v>2414</v>
      </c>
      <c r="D756" s="214">
        <v>310</v>
      </c>
    </row>
    <row r="757" spans="1:4" x14ac:dyDescent="0.25">
      <c r="A757" s="239">
        <v>46092.35434027778</v>
      </c>
      <c r="B757" s="214" t="s">
        <v>2505</v>
      </c>
      <c r="C757" s="214" t="s">
        <v>2413</v>
      </c>
      <c r="D757" s="214">
        <v>309</v>
      </c>
    </row>
    <row r="758" spans="1:4" x14ac:dyDescent="0.25">
      <c r="A758" s="239">
        <v>46092.35434027778</v>
      </c>
      <c r="B758" s="214" t="s">
        <v>2505</v>
      </c>
      <c r="C758" s="214" t="s">
        <v>2412</v>
      </c>
      <c r="D758" s="214">
        <v>308</v>
      </c>
    </row>
    <row r="759" spans="1:4" x14ac:dyDescent="0.25">
      <c r="A759" s="239">
        <v>46092.35434027778</v>
      </c>
      <c r="B759" s="214" t="s">
        <v>2505</v>
      </c>
      <c r="C759" s="214" t="s">
        <v>2411</v>
      </c>
      <c r="D759" s="214">
        <v>307</v>
      </c>
    </row>
    <row r="760" spans="1:4" x14ac:dyDescent="0.25">
      <c r="A760" s="239">
        <v>46092.35434027778</v>
      </c>
      <c r="B760" s="214" t="s">
        <v>2505</v>
      </c>
      <c r="C760" s="214" t="s">
        <v>2410</v>
      </c>
      <c r="D760" s="214">
        <v>306</v>
      </c>
    </row>
    <row r="761" spans="1:4" x14ac:dyDescent="0.25">
      <c r="A761" s="239">
        <v>46092.35434027778</v>
      </c>
      <c r="B761" s="214" t="s">
        <v>2505</v>
      </c>
      <c r="C761" s="214" t="s">
        <v>2409</v>
      </c>
      <c r="D761" s="214">
        <v>305</v>
      </c>
    </row>
    <row r="762" spans="1:4" x14ac:dyDescent="0.25">
      <c r="A762" s="239">
        <v>46092.35434027778</v>
      </c>
      <c r="B762" s="214" t="s">
        <v>2505</v>
      </c>
      <c r="C762" s="214" t="s">
        <v>2408</v>
      </c>
      <c r="D762" s="214">
        <v>304</v>
      </c>
    </row>
    <row r="763" spans="1:4" x14ac:dyDescent="0.25">
      <c r="A763" s="239">
        <v>46092.35434027778</v>
      </c>
      <c r="B763" s="214" t="s">
        <v>2505</v>
      </c>
      <c r="C763" s="214" t="s">
        <v>2407</v>
      </c>
      <c r="D763" s="214">
        <v>303</v>
      </c>
    </row>
    <row r="764" spans="1:4" x14ac:dyDescent="0.25">
      <c r="A764" s="239">
        <v>46092.35434027778</v>
      </c>
      <c r="B764" s="214" t="s">
        <v>2505</v>
      </c>
      <c r="C764" s="214" t="s">
        <v>2406</v>
      </c>
      <c r="D764" s="214">
        <v>302</v>
      </c>
    </row>
    <row r="765" spans="1:4" x14ac:dyDescent="0.25">
      <c r="A765" s="239">
        <v>46092.35434027778</v>
      </c>
      <c r="B765" s="214" t="s">
        <v>2505</v>
      </c>
      <c r="C765" s="214" t="s">
        <v>2405</v>
      </c>
      <c r="D765" s="214">
        <v>301</v>
      </c>
    </row>
    <row r="766" spans="1:4" x14ac:dyDescent="0.25">
      <c r="A766" s="239">
        <v>46092.35434027778</v>
      </c>
      <c r="B766" s="214" t="s">
        <v>2505</v>
      </c>
      <c r="C766" s="214" t="s">
        <v>2404</v>
      </c>
      <c r="D766" s="214">
        <v>300</v>
      </c>
    </row>
    <row r="767" spans="1:4" x14ac:dyDescent="0.25">
      <c r="A767" s="239">
        <v>46092.35434027778</v>
      </c>
      <c r="B767" s="214" t="s">
        <v>2505</v>
      </c>
      <c r="C767" s="214" t="s">
        <v>2403</v>
      </c>
      <c r="D767" s="214">
        <v>299</v>
      </c>
    </row>
    <row r="768" spans="1:4" x14ac:dyDescent="0.25">
      <c r="A768" s="239">
        <v>46092.35434027778</v>
      </c>
      <c r="B768" s="214" t="s">
        <v>2505</v>
      </c>
      <c r="C768" s="214" t="s">
        <v>2402</v>
      </c>
      <c r="D768" s="214">
        <v>298</v>
      </c>
    </row>
    <row r="769" spans="1:4" x14ac:dyDescent="0.25">
      <c r="A769" s="239">
        <v>46092.35434027778</v>
      </c>
      <c r="B769" s="214" t="s">
        <v>2505</v>
      </c>
      <c r="C769" s="214" t="s">
        <v>2401</v>
      </c>
      <c r="D769" s="214">
        <v>297</v>
      </c>
    </row>
    <row r="770" spans="1:4" x14ac:dyDescent="0.25">
      <c r="A770" s="239">
        <v>46092.35434027778</v>
      </c>
      <c r="B770" s="214" t="s">
        <v>2505</v>
      </c>
      <c r="C770" s="214" t="s">
        <v>2400</v>
      </c>
      <c r="D770" s="214">
        <v>296</v>
      </c>
    </row>
    <row r="771" spans="1:4" x14ac:dyDescent="0.25">
      <c r="A771" s="239">
        <v>46092.35434027778</v>
      </c>
      <c r="B771" s="214" t="s">
        <v>2505</v>
      </c>
      <c r="C771" s="214" t="s">
        <v>2399</v>
      </c>
      <c r="D771" s="214">
        <v>295</v>
      </c>
    </row>
    <row r="772" spans="1:4" x14ac:dyDescent="0.25">
      <c r="A772" s="239">
        <v>46092.35434027778</v>
      </c>
      <c r="B772" s="214" t="s">
        <v>2505</v>
      </c>
      <c r="C772" s="214" t="s">
        <v>2398</v>
      </c>
      <c r="D772" s="214">
        <v>294</v>
      </c>
    </row>
    <row r="773" spans="1:4" x14ac:dyDescent="0.25">
      <c r="A773" s="239">
        <v>46092.35434027778</v>
      </c>
      <c r="B773" s="214" t="s">
        <v>2505</v>
      </c>
      <c r="C773" s="214" t="s">
        <v>2397</v>
      </c>
      <c r="D773" s="214">
        <v>293</v>
      </c>
    </row>
    <row r="774" spans="1:4" x14ac:dyDescent="0.25">
      <c r="A774" s="239">
        <v>46092.35434027778</v>
      </c>
      <c r="B774" s="214" t="s">
        <v>2505</v>
      </c>
      <c r="C774" s="214" t="s">
        <v>2396</v>
      </c>
      <c r="D774" s="214">
        <v>292</v>
      </c>
    </row>
    <row r="775" spans="1:4" x14ac:dyDescent="0.25">
      <c r="A775" s="239">
        <v>46092.35434027778</v>
      </c>
      <c r="B775" s="214" t="s">
        <v>2505</v>
      </c>
      <c r="C775" s="214" t="s">
        <v>2395</v>
      </c>
      <c r="D775" s="214">
        <v>291</v>
      </c>
    </row>
    <row r="776" spans="1:4" x14ac:dyDescent="0.25">
      <c r="A776" s="239">
        <v>46092.35434027778</v>
      </c>
      <c r="B776" s="214" t="s">
        <v>2505</v>
      </c>
      <c r="C776" s="214" t="s">
        <v>2394</v>
      </c>
      <c r="D776" s="214">
        <v>290</v>
      </c>
    </row>
    <row r="777" spans="1:4" x14ac:dyDescent="0.25">
      <c r="A777" s="239">
        <v>46092.35434027778</v>
      </c>
      <c r="B777" s="214" t="s">
        <v>2505</v>
      </c>
      <c r="C777" s="214" t="s">
        <v>2393</v>
      </c>
      <c r="D777" s="214">
        <v>289</v>
      </c>
    </row>
    <row r="778" spans="1:4" x14ac:dyDescent="0.25">
      <c r="A778" s="239">
        <v>46092.35434027778</v>
      </c>
      <c r="B778" s="214" t="s">
        <v>2505</v>
      </c>
      <c r="C778" s="214" t="s">
        <v>2392</v>
      </c>
      <c r="D778" s="214">
        <v>288</v>
      </c>
    </row>
    <row r="779" spans="1:4" x14ac:dyDescent="0.25">
      <c r="A779" s="239">
        <v>46092.35434027778</v>
      </c>
      <c r="B779" s="214" t="s">
        <v>2505</v>
      </c>
      <c r="C779" s="214" t="s">
        <v>2391</v>
      </c>
      <c r="D779" s="214">
        <v>287</v>
      </c>
    </row>
    <row r="780" spans="1:4" x14ac:dyDescent="0.25">
      <c r="A780" s="239">
        <v>46092.35434027778</v>
      </c>
      <c r="B780" s="214" t="s">
        <v>2505</v>
      </c>
      <c r="C780" s="214" t="s">
        <v>2390</v>
      </c>
      <c r="D780" s="214">
        <v>286</v>
      </c>
    </row>
    <row r="781" spans="1:4" x14ac:dyDescent="0.25">
      <c r="A781" s="239">
        <v>46092.35434027778</v>
      </c>
      <c r="B781" s="214" t="s">
        <v>2505</v>
      </c>
      <c r="C781" s="214" t="s">
        <v>2389</v>
      </c>
      <c r="D781" s="214">
        <v>285</v>
      </c>
    </row>
    <row r="782" spans="1:4" x14ac:dyDescent="0.25">
      <c r="A782" s="239">
        <v>46092.35434027778</v>
      </c>
      <c r="B782" s="214" t="s">
        <v>2505</v>
      </c>
      <c r="C782" s="214" t="s">
        <v>2388</v>
      </c>
      <c r="D782" s="214">
        <v>284</v>
      </c>
    </row>
    <row r="783" spans="1:4" x14ac:dyDescent="0.25">
      <c r="A783" s="239">
        <v>46092.35434027778</v>
      </c>
      <c r="B783" s="214" t="s">
        <v>2505</v>
      </c>
      <c r="C783" s="214" t="s">
        <v>2387</v>
      </c>
      <c r="D783" s="214">
        <v>283</v>
      </c>
    </row>
    <row r="784" spans="1:4" x14ac:dyDescent="0.25">
      <c r="A784" s="239">
        <v>46092.35434027778</v>
      </c>
      <c r="B784" s="214" t="s">
        <v>2505</v>
      </c>
      <c r="C784" s="214" t="s">
        <v>2386</v>
      </c>
      <c r="D784" s="214">
        <v>282</v>
      </c>
    </row>
    <row r="785" spans="1:4" x14ac:dyDescent="0.25">
      <c r="A785" s="239">
        <v>46092.35434027778</v>
      </c>
      <c r="B785" s="214" t="s">
        <v>2505</v>
      </c>
      <c r="C785" s="214" t="s">
        <v>2385</v>
      </c>
      <c r="D785" s="214">
        <v>281</v>
      </c>
    </row>
    <row r="786" spans="1:4" x14ac:dyDescent="0.25">
      <c r="A786" s="239">
        <v>46092.35434027778</v>
      </c>
      <c r="B786" s="214" t="s">
        <v>2505</v>
      </c>
      <c r="C786" s="214" t="s">
        <v>2384</v>
      </c>
      <c r="D786" s="214">
        <v>280</v>
      </c>
    </row>
    <row r="787" spans="1:4" x14ac:dyDescent="0.25">
      <c r="A787" s="239">
        <v>46092.35434027778</v>
      </c>
      <c r="B787" s="214" t="s">
        <v>2505</v>
      </c>
      <c r="C787" s="214" t="s">
        <v>2383</v>
      </c>
      <c r="D787" s="214">
        <v>279</v>
      </c>
    </row>
    <row r="788" spans="1:4" x14ac:dyDescent="0.25">
      <c r="A788" s="239">
        <v>46092.35434027778</v>
      </c>
      <c r="B788" s="214" t="s">
        <v>2505</v>
      </c>
      <c r="C788" s="214" t="s">
        <v>2382</v>
      </c>
      <c r="D788" s="214">
        <v>278</v>
      </c>
    </row>
    <row r="789" spans="1:4" x14ac:dyDescent="0.25">
      <c r="A789" s="239">
        <v>46092.35434027778</v>
      </c>
      <c r="B789" s="214" t="s">
        <v>2505</v>
      </c>
      <c r="C789" s="214" t="s">
        <v>2381</v>
      </c>
      <c r="D789" s="214">
        <v>277</v>
      </c>
    </row>
    <row r="790" spans="1:4" x14ac:dyDescent="0.25">
      <c r="A790" s="239">
        <v>46092.35434027778</v>
      </c>
      <c r="B790" s="214" t="s">
        <v>2505</v>
      </c>
      <c r="C790" s="214" t="s">
        <v>2380</v>
      </c>
      <c r="D790" s="214">
        <v>276</v>
      </c>
    </row>
    <row r="791" spans="1:4" x14ac:dyDescent="0.25">
      <c r="A791" s="239">
        <v>46092.35434027778</v>
      </c>
      <c r="B791" s="214" t="s">
        <v>2505</v>
      </c>
      <c r="C791" s="214" t="s">
        <v>2379</v>
      </c>
      <c r="D791" s="214">
        <v>275</v>
      </c>
    </row>
    <row r="792" spans="1:4" x14ac:dyDescent="0.25">
      <c r="A792" s="239">
        <v>46092.35434027778</v>
      </c>
      <c r="B792" s="214" t="s">
        <v>2505</v>
      </c>
      <c r="C792" s="214" t="s">
        <v>2378</v>
      </c>
      <c r="D792" s="214">
        <v>274</v>
      </c>
    </row>
    <row r="793" spans="1:4" x14ac:dyDescent="0.25">
      <c r="A793" s="239">
        <v>46092.35434027778</v>
      </c>
      <c r="B793" s="214" t="s">
        <v>2505</v>
      </c>
      <c r="C793" s="214" t="s">
        <v>2377</v>
      </c>
      <c r="D793" s="214">
        <v>273</v>
      </c>
    </row>
    <row r="794" spans="1:4" x14ac:dyDescent="0.25">
      <c r="A794" s="239">
        <v>46092.35434027778</v>
      </c>
      <c r="B794" s="214" t="s">
        <v>2505</v>
      </c>
      <c r="C794" s="214" t="s">
        <v>2376</v>
      </c>
      <c r="D794" s="214">
        <v>272</v>
      </c>
    </row>
    <row r="795" spans="1:4" x14ac:dyDescent="0.25">
      <c r="A795" s="239">
        <v>46092.35434027778</v>
      </c>
      <c r="B795" s="214" t="s">
        <v>2505</v>
      </c>
      <c r="C795" s="214" t="s">
        <v>2375</v>
      </c>
      <c r="D795" s="214">
        <v>271</v>
      </c>
    </row>
    <row r="796" spans="1:4" x14ac:dyDescent="0.25">
      <c r="A796" s="239">
        <v>46092.35434027778</v>
      </c>
      <c r="B796" s="214" t="s">
        <v>2505</v>
      </c>
      <c r="C796" s="214" t="s">
        <v>2374</v>
      </c>
      <c r="D796" s="214">
        <v>270</v>
      </c>
    </row>
    <row r="797" spans="1:4" x14ac:dyDescent="0.25">
      <c r="A797" s="239">
        <v>46092.35434027778</v>
      </c>
      <c r="B797" s="214" t="s">
        <v>2505</v>
      </c>
      <c r="C797" s="214" t="s">
        <v>2373</v>
      </c>
      <c r="D797" s="214">
        <v>269</v>
      </c>
    </row>
    <row r="798" spans="1:4" x14ac:dyDescent="0.25">
      <c r="A798" s="239">
        <v>46092.35434027778</v>
      </c>
      <c r="B798" s="214" t="s">
        <v>2505</v>
      </c>
      <c r="C798" s="214" t="s">
        <v>2372</v>
      </c>
      <c r="D798" s="214">
        <v>268</v>
      </c>
    </row>
    <row r="799" spans="1:4" x14ac:dyDescent="0.25">
      <c r="A799" s="239">
        <v>46092.35434027778</v>
      </c>
      <c r="B799" s="214" t="s">
        <v>2505</v>
      </c>
      <c r="C799" s="214" t="s">
        <v>2371</v>
      </c>
      <c r="D799" s="214">
        <v>267</v>
      </c>
    </row>
    <row r="800" spans="1:4" x14ac:dyDescent="0.25">
      <c r="A800" s="239">
        <v>46092.35434027778</v>
      </c>
      <c r="B800" s="214" t="s">
        <v>2505</v>
      </c>
      <c r="C800" s="214" t="s">
        <v>2370</v>
      </c>
      <c r="D800" s="214">
        <v>266</v>
      </c>
    </row>
    <row r="801" spans="1:4" x14ac:dyDescent="0.25">
      <c r="A801" s="239">
        <v>46092.35434027778</v>
      </c>
      <c r="B801" s="214" t="s">
        <v>2505</v>
      </c>
      <c r="C801" s="214" t="s">
        <v>2369</v>
      </c>
      <c r="D801" s="214">
        <v>265</v>
      </c>
    </row>
    <row r="802" spans="1:4" x14ac:dyDescent="0.25">
      <c r="A802" s="239">
        <v>46092.35434027778</v>
      </c>
      <c r="B802" s="214" t="s">
        <v>2505</v>
      </c>
      <c r="C802" s="214" t="s">
        <v>2368</v>
      </c>
      <c r="D802" s="214">
        <v>264</v>
      </c>
    </row>
    <row r="803" spans="1:4" x14ac:dyDescent="0.25">
      <c r="A803" s="239">
        <v>46092.35434027778</v>
      </c>
      <c r="B803" s="214" t="s">
        <v>2505</v>
      </c>
      <c r="C803" s="214" t="s">
        <v>2367</v>
      </c>
      <c r="D803" s="214">
        <v>263</v>
      </c>
    </row>
    <row r="804" spans="1:4" x14ac:dyDescent="0.25">
      <c r="A804" s="239">
        <v>46092.35434027778</v>
      </c>
      <c r="B804" s="214" t="s">
        <v>2505</v>
      </c>
      <c r="C804" s="214" t="s">
        <v>2366</v>
      </c>
      <c r="D804" s="214">
        <v>262</v>
      </c>
    </row>
    <row r="805" spans="1:4" x14ac:dyDescent="0.25">
      <c r="A805" s="239">
        <v>46092.35434027778</v>
      </c>
      <c r="B805" s="214" t="s">
        <v>2505</v>
      </c>
      <c r="C805" s="214" t="s">
        <v>2365</v>
      </c>
      <c r="D805" s="214">
        <v>261</v>
      </c>
    </row>
    <row r="806" spans="1:4" x14ac:dyDescent="0.25">
      <c r="A806" s="239">
        <v>46092.35434027778</v>
      </c>
      <c r="B806" s="214" t="s">
        <v>2505</v>
      </c>
      <c r="C806" s="214" t="s">
        <v>2364</v>
      </c>
      <c r="D806" s="214">
        <v>260</v>
      </c>
    </row>
    <row r="807" spans="1:4" x14ac:dyDescent="0.25">
      <c r="A807" s="239">
        <v>46092.35434027778</v>
      </c>
      <c r="B807" s="214" t="s">
        <v>2505</v>
      </c>
      <c r="C807" s="214" t="s">
        <v>2363</v>
      </c>
      <c r="D807" s="214">
        <v>259</v>
      </c>
    </row>
    <row r="808" spans="1:4" x14ac:dyDescent="0.25">
      <c r="A808" s="239">
        <v>46092.35434027778</v>
      </c>
      <c r="B808" s="214" t="s">
        <v>2505</v>
      </c>
      <c r="C808" s="214" t="s">
        <v>2362</v>
      </c>
      <c r="D808" s="214">
        <v>258</v>
      </c>
    </row>
    <row r="809" spans="1:4" x14ac:dyDescent="0.25">
      <c r="A809" s="239">
        <v>46092.35434027778</v>
      </c>
      <c r="B809" s="214" t="s">
        <v>2505</v>
      </c>
      <c r="C809" s="214" t="s">
        <v>2361</v>
      </c>
      <c r="D809" s="214">
        <v>257</v>
      </c>
    </row>
    <row r="810" spans="1:4" x14ac:dyDescent="0.25">
      <c r="A810" s="239">
        <v>46092.35434027778</v>
      </c>
      <c r="B810" s="214" t="s">
        <v>2505</v>
      </c>
      <c r="C810" s="214" t="s">
        <v>2360</v>
      </c>
      <c r="D810" s="214">
        <v>256</v>
      </c>
    </row>
    <row r="811" spans="1:4" x14ac:dyDescent="0.25">
      <c r="A811" s="239">
        <v>46092.35434027778</v>
      </c>
      <c r="B811" s="214" t="s">
        <v>2505</v>
      </c>
      <c r="C811" s="214" t="s">
        <v>2359</v>
      </c>
      <c r="D811" s="214">
        <v>255</v>
      </c>
    </row>
    <row r="812" spans="1:4" x14ac:dyDescent="0.25">
      <c r="A812" s="239">
        <v>46092.35434027778</v>
      </c>
      <c r="B812" s="214" t="s">
        <v>2505</v>
      </c>
      <c r="C812" s="214" t="s">
        <v>2358</v>
      </c>
      <c r="D812" s="214">
        <v>254</v>
      </c>
    </row>
    <row r="813" spans="1:4" x14ac:dyDescent="0.25">
      <c r="A813" s="239">
        <v>46092.35434027778</v>
      </c>
      <c r="B813" s="214" t="s">
        <v>2505</v>
      </c>
      <c r="C813" s="214" t="s">
        <v>2357</v>
      </c>
      <c r="D813" s="214">
        <v>253</v>
      </c>
    </row>
    <row r="814" spans="1:4" x14ac:dyDescent="0.25">
      <c r="A814" s="239">
        <v>46092.35434027778</v>
      </c>
      <c r="B814" s="214" t="s">
        <v>2505</v>
      </c>
      <c r="C814" s="214" t="s">
        <v>2356</v>
      </c>
      <c r="D814" s="214">
        <v>252</v>
      </c>
    </row>
    <row r="815" spans="1:4" x14ac:dyDescent="0.25">
      <c r="A815" s="239">
        <v>46092.35434027778</v>
      </c>
      <c r="B815" s="214" t="s">
        <v>2505</v>
      </c>
      <c r="C815" s="214" t="s">
        <v>2355</v>
      </c>
      <c r="D815" s="214">
        <v>251</v>
      </c>
    </row>
    <row r="816" spans="1:4" x14ac:dyDescent="0.25">
      <c r="A816" s="239">
        <v>46092.35434027778</v>
      </c>
      <c r="B816" s="214" t="s">
        <v>2505</v>
      </c>
      <c r="C816" s="214" t="s">
        <v>2354</v>
      </c>
      <c r="D816" s="214">
        <v>250</v>
      </c>
    </row>
    <row r="817" spans="1:4" x14ac:dyDescent="0.25">
      <c r="A817" s="239">
        <v>46092.35434027778</v>
      </c>
      <c r="B817" s="214" t="s">
        <v>2505</v>
      </c>
      <c r="C817" s="214" t="s">
        <v>2353</v>
      </c>
      <c r="D817" s="214">
        <v>249</v>
      </c>
    </row>
    <row r="818" spans="1:4" x14ac:dyDescent="0.25">
      <c r="A818" s="239">
        <v>46092.35434027778</v>
      </c>
      <c r="B818" s="214" t="s">
        <v>2505</v>
      </c>
      <c r="C818" s="214" t="s">
        <v>2352</v>
      </c>
      <c r="D818" s="214">
        <v>248</v>
      </c>
    </row>
    <row r="819" spans="1:4" x14ac:dyDescent="0.25">
      <c r="A819" s="239">
        <v>46092.35434027778</v>
      </c>
      <c r="B819" s="214" t="s">
        <v>2505</v>
      </c>
      <c r="C819" s="214" t="s">
        <v>2351</v>
      </c>
      <c r="D819" s="214">
        <v>247</v>
      </c>
    </row>
    <row r="820" spans="1:4" x14ac:dyDescent="0.25">
      <c r="A820" s="239">
        <v>46092.35434027778</v>
      </c>
      <c r="B820" s="214" t="s">
        <v>2505</v>
      </c>
      <c r="C820" s="214" t="s">
        <v>2350</v>
      </c>
      <c r="D820" s="214">
        <v>246</v>
      </c>
    </row>
    <row r="821" spans="1:4" x14ac:dyDescent="0.25">
      <c r="A821" s="239">
        <v>46092.35434027778</v>
      </c>
      <c r="B821" s="214" t="s">
        <v>2505</v>
      </c>
      <c r="C821" s="214" t="s">
        <v>2349</v>
      </c>
      <c r="D821" s="214">
        <v>245</v>
      </c>
    </row>
    <row r="822" spans="1:4" x14ac:dyDescent="0.25">
      <c r="A822" s="239">
        <v>46092.35434027778</v>
      </c>
      <c r="B822" s="214" t="s">
        <v>2505</v>
      </c>
      <c r="C822" s="214" t="s">
        <v>2348</v>
      </c>
      <c r="D822" s="214">
        <v>244</v>
      </c>
    </row>
    <row r="823" spans="1:4" x14ac:dyDescent="0.25">
      <c r="A823" s="239">
        <v>46092.35434027778</v>
      </c>
      <c r="B823" s="214" t="s">
        <v>2505</v>
      </c>
      <c r="C823" s="214" t="s">
        <v>2347</v>
      </c>
      <c r="D823" s="214">
        <v>243</v>
      </c>
    </row>
    <row r="824" spans="1:4" x14ac:dyDescent="0.25">
      <c r="A824" s="239">
        <v>46092.35434027778</v>
      </c>
      <c r="B824" s="214" t="s">
        <v>2505</v>
      </c>
      <c r="C824" s="214" t="s">
        <v>2346</v>
      </c>
      <c r="D824" s="214">
        <v>242</v>
      </c>
    </row>
    <row r="825" spans="1:4" x14ac:dyDescent="0.25">
      <c r="A825" s="239">
        <v>46092.35434027778</v>
      </c>
      <c r="B825" s="214" t="s">
        <v>2505</v>
      </c>
      <c r="C825" s="214" t="s">
        <v>2345</v>
      </c>
      <c r="D825" s="214">
        <v>241</v>
      </c>
    </row>
    <row r="826" spans="1:4" x14ac:dyDescent="0.25">
      <c r="A826" s="239">
        <v>46092.35434027778</v>
      </c>
      <c r="B826" s="214" t="s">
        <v>2505</v>
      </c>
      <c r="C826" s="214" t="s">
        <v>2344</v>
      </c>
      <c r="D826" s="214">
        <v>240</v>
      </c>
    </row>
    <row r="827" spans="1:4" x14ac:dyDescent="0.25">
      <c r="A827" s="239">
        <v>46092.35434027778</v>
      </c>
      <c r="B827" s="214" t="s">
        <v>2505</v>
      </c>
      <c r="C827" s="214" t="s">
        <v>2343</v>
      </c>
      <c r="D827" s="214">
        <v>239</v>
      </c>
    </row>
    <row r="828" spans="1:4" x14ac:dyDescent="0.25">
      <c r="A828" s="239">
        <v>46092.35434027778</v>
      </c>
      <c r="B828" s="214" t="s">
        <v>2505</v>
      </c>
      <c r="C828" s="214" t="s">
        <v>2342</v>
      </c>
      <c r="D828" s="214">
        <v>238</v>
      </c>
    </row>
    <row r="829" spans="1:4" x14ac:dyDescent="0.25">
      <c r="A829" s="239">
        <v>46092.35434027778</v>
      </c>
      <c r="B829" s="214" t="s">
        <v>2505</v>
      </c>
      <c r="C829" s="214" t="s">
        <v>2341</v>
      </c>
      <c r="D829" s="214">
        <v>237</v>
      </c>
    </row>
    <row r="830" spans="1:4" x14ac:dyDescent="0.25">
      <c r="A830" s="239">
        <v>46092.35434027778</v>
      </c>
      <c r="B830" s="214" t="s">
        <v>2505</v>
      </c>
      <c r="C830" s="214" t="s">
        <v>2340</v>
      </c>
      <c r="D830" s="214">
        <v>236</v>
      </c>
    </row>
    <row r="831" spans="1:4" x14ac:dyDescent="0.25">
      <c r="A831" s="239">
        <v>46092.35434027778</v>
      </c>
      <c r="B831" s="214" t="s">
        <v>2505</v>
      </c>
      <c r="C831" s="214" t="s">
        <v>2339</v>
      </c>
      <c r="D831" s="214">
        <v>235</v>
      </c>
    </row>
    <row r="832" spans="1:4" x14ac:dyDescent="0.25">
      <c r="A832" s="239">
        <v>46092.35434027778</v>
      </c>
      <c r="B832" s="214" t="s">
        <v>2505</v>
      </c>
      <c r="C832" s="214" t="s">
        <v>2338</v>
      </c>
      <c r="D832" s="214">
        <v>234</v>
      </c>
    </row>
    <row r="833" spans="1:4" x14ac:dyDescent="0.25">
      <c r="A833" s="239">
        <v>46092.35434027778</v>
      </c>
      <c r="B833" s="214" t="s">
        <v>2505</v>
      </c>
      <c r="C833" s="214" t="s">
        <v>2337</v>
      </c>
      <c r="D833" s="214">
        <v>233</v>
      </c>
    </row>
    <row r="834" spans="1:4" x14ac:dyDescent="0.25">
      <c r="A834" s="239">
        <v>46092.35434027778</v>
      </c>
      <c r="B834" s="214" t="s">
        <v>2505</v>
      </c>
      <c r="C834" s="214" t="s">
        <v>2336</v>
      </c>
      <c r="D834" s="214">
        <v>232</v>
      </c>
    </row>
    <row r="835" spans="1:4" x14ac:dyDescent="0.25">
      <c r="A835" s="239">
        <v>46092.35434027778</v>
      </c>
      <c r="B835" s="214" t="s">
        <v>2505</v>
      </c>
      <c r="C835" s="214" t="s">
        <v>2335</v>
      </c>
      <c r="D835" s="214">
        <v>231</v>
      </c>
    </row>
    <row r="836" spans="1:4" x14ac:dyDescent="0.25">
      <c r="A836" s="239">
        <v>46092.35434027778</v>
      </c>
      <c r="B836" s="214" t="s">
        <v>2505</v>
      </c>
      <c r="C836" s="214" t="s">
        <v>2334</v>
      </c>
      <c r="D836" s="214">
        <v>230</v>
      </c>
    </row>
    <row r="837" spans="1:4" x14ac:dyDescent="0.25">
      <c r="A837" s="239">
        <v>46092.35434027778</v>
      </c>
      <c r="B837" s="214" t="s">
        <v>2505</v>
      </c>
      <c r="C837" s="214" t="s">
        <v>2333</v>
      </c>
      <c r="D837" s="214">
        <v>229</v>
      </c>
    </row>
    <row r="838" spans="1:4" x14ac:dyDescent="0.25">
      <c r="A838" s="239">
        <v>46092.35434027778</v>
      </c>
      <c r="B838" s="214" t="s">
        <v>2505</v>
      </c>
      <c r="C838" s="214" t="s">
        <v>2332</v>
      </c>
      <c r="D838" s="214">
        <v>228</v>
      </c>
    </row>
    <row r="839" spans="1:4" x14ac:dyDescent="0.25">
      <c r="A839" s="239">
        <v>46092.35434027778</v>
      </c>
      <c r="B839" s="214" t="s">
        <v>2505</v>
      </c>
      <c r="C839" s="214" t="s">
        <v>2331</v>
      </c>
      <c r="D839" s="214">
        <v>227</v>
      </c>
    </row>
    <row r="840" spans="1:4" x14ac:dyDescent="0.25">
      <c r="A840" s="239">
        <v>46092.35434027778</v>
      </c>
      <c r="B840" s="214" t="s">
        <v>2505</v>
      </c>
      <c r="C840" s="214" t="s">
        <v>2330</v>
      </c>
      <c r="D840" s="214">
        <v>226</v>
      </c>
    </row>
    <row r="841" spans="1:4" x14ac:dyDescent="0.25">
      <c r="A841" s="239">
        <v>46092.35434027778</v>
      </c>
      <c r="B841" s="214" t="s">
        <v>2505</v>
      </c>
      <c r="C841" s="214" t="s">
        <v>2329</v>
      </c>
      <c r="D841" s="214">
        <v>225</v>
      </c>
    </row>
    <row r="842" spans="1:4" x14ac:dyDescent="0.25">
      <c r="A842" s="239">
        <v>46092.35434027778</v>
      </c>
      <c r="B842" s="214" t="s">
        <v>2505</v>
      </c>
      <c r="C842" s="214" t="s">
        <v>2328</v>
      </c>
      <c r="D842" s="214">
        <v>224</v>
      </c>
    </row>
    <row r="843" spans="1:4" x14ac:dyDescent="0.25">
      <c r="A843" s="239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L433"/>
  <sheetViews>
    <sheetView workbookViewId="0">
      <pane xSplit="1" ySplit="10" topLeftCell="B54" activePane="bottomRight" state="frozen"/>
      <selection pane="topRight" activeCell="B1" sqref="B1"/>
      <selection pane="bottomLeft" activeCell="A11" sqref="A11"/>
      <selection pane="bottomRight" activeCell="L433" sqref="L54:L433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68" t="s">
        <v>42</v>
      </c>
      <c r="G9" s="268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246</v>
      </c>
      <c r="G10" s="58" t="s">
        <v>245</v>
      </c>
      <c r="H10" s="58" t="s">
        <v>430</v>
      </c>
      <c r="I10" s="57" t="s">
        <v>40</v>
      </c>
    </row>
    <row r="11" spans="1:11" x14ac:dyDescent="0.35">
      <c r="B11" s="59">
        <v>1</v>
      </c>
      <c r="C11" s="45" t="s">
        <v>240</v>
      </c>
      <c r="D11" s="59" t="s">
        <v>287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240</v>
      </c>
      <c r="D12" s="59" t="s">
        <v>288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240</v>
      </c>
      <c r="D13" s="59" t="s">
        <v>289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69</v>
      </c>
      <c r="D15" s="59" t="s">
        <v>290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69</v>
      </c>
      <c r="D16" s="59" t="s">
        <v>291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69</v>
      </c>
      <c r="D17" s="59" t="s">
        <v>241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69</v>
      </c>
      <c r="D18" s="59" t="s">
        <v>292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69</v>
      </c>
      <c r="D19" s="59" t="s">
        <v>293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69</v>
      </c>
      <c r="D20" s="59" t="s">
        <v>242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68</v>
      </c>
      <c r="D21" s="59" t="s">
        <v>294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68</v>
      </c>
      <c r="D22" s="59" t="s">
        <v>295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68</v>
      </c>
      <c r="D23" s="59" t="s">
        <v>296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68</v>
      </c>
      <c r="D24" s="59" t="s">
        <v>297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92</v>
      </c>
      <c r="D25" s="59" t="s">
        <v>255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92</v>
      </c>
      <c r="D26" s="59" t="s">
        <v>256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92</v>
      </c>
      <c r="D27" s="59" t="s">
        <v>257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1030</v>
      </c>
      <c r="D28" s="59" t="s">
        <v>1031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92</v>
      </c>
      <c r="D30" s="59" t="s">
        <v>298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92</v>
      </c>
      <c r="D31" s="59" t="s">
        <v>299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92</v>
      </c>
      <c r="D32" s="59" t="s">
        <v>300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164</v>
      </c>
      <c r="D35" s="59" t="s">
        <v>260</v>
      </c>
      <c r="E35" s="63" t="s">
        <v>46</v>
      </c>
      <c r="F35" s="63">
        <v>609</v>
      </c>
      <c r="G35" s="63">
        <v>7</v>
      </c>
      <c r="H35" s="63">
        <v>1</v>
      </c>
      <c r="I35" s="59" t="s">
        <v>871</v>
      </c>
    </row>
    <row r="36" spans="2:9" x14ac:dyDescent="0.35">
      <c r="B36" s="59">
        <v>26</v>
      </c>
      <c r="C36" s="59" t="s">
        <v>164</v>
      </c>
      <c r="D36" s="59" t="s">
        <v>261</v>
      </c>
      <c r="E36" s="63" t="s">
        <v>46</v>
      </c>
      <c r="F36" s="63">
        <v>609</v>
      </c>
      <c r="G36" s="63">
        <v>7</v>
      </c>
      <c r="H36" s="63">
        <v>1</v>
      </c>
      <c r="I36" s="59" t="s">
        <v>871</v>
      </c>
    </row>
    <row r="37" spans="2:9" x14ac:dyDescent="0.35">
      <c r="B37" s="59">
        <v>27</v>
      </c>
      <c r="C37" s="59" t="s">
        <v>164</v>
      </c>
      <c r="D37" s="59" t="s">
        <v>262</v>
      </c>
      <c r="E37" s="63" t="s">
        <v>46</v>
      </c>
      <c r="F37" s="63">
        <v>609</v>
      </c>
      <c r="G37" s="63">
        <v>7</v>
      </c>
      <c r="H37" s="63">
        <v>1</v>
      </c>
      <c r="I37" s="59" t="s">
        <v>871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92</v>
      </c>
      <c r="D40" s="59" t="s">
        <v>671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92</v>
      </c>
      <c r="D41" s="59" t="s">
        <v>669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92</v>
      </c>
      <c r="D42" s="59" t="s">
        <v>670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162</v>
      </c>
      <c r="D44" s="59" t="s">
        <v>862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162</v>
      </c>
      <c r="D45" s="59" t="s">
        <v>863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162</v>
      </c>
      <c r="D46" s="59" t="s">
        <v>864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163</v>
      </c>
      <c r="D48" s="59" t="s">
        <v>868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12" x14ac:dyDescent="0.35">
      <c r="B49" s="59">
        <v>39</v>
      </c>
      <c r="C49" s="59" t="s">
        <v>163</v>
      </c>
      <c r="D49" s="59" t="s">
        <v>869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12" x14ac:dyDescent="0.35">
      <c r="B50" s="59">
        <v>40</v>
      </c>
      <c r="C50" s="59" t="s">
        <v>163</v>
      </c>
      <c r="D50" s="59" t="s">
        <v>870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12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12" x14ac:dyDescent="0.35">
      <c r="B52" s="59">
        <v>42</v>
      </c>
      <c r="C52" s="59" t="s">
        <v>164</v>
      </c>
      <c r="D52" s="59" t="s">
        <v>865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12" x14ac:dyDescent="0.35">
      <c r="B53" s="59">
        <v>43</v>
      </c>
      <c r="C53" s="59" t="s">
        <v>164</v>
      </c>
      <c r="D53" s="59" t="s">
        <v>866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12" x14ac:dyDescent="0.35">
      <c r="B54" s="59">
        <v>44</v>
      </c>
      <c r="C54" s="59" t="s">
        <v>164</v>
      </c>
      <c r="D54" s="59" t="s">
        <v>867</v>
      </c>
      <c r="E54" s="63" t="s">
        <v>46</v>
      </c>
      <c r="F54" s="63">
        <v>609</v>
      </c>
      <c r="G54" s="63">
        <v>7</v>
      </c>
      <c r="H54" s="63">
        <v>1</v>
      </c>
      <c r="I54" s="59"/>
      <c r="L54" s="47">
        <v>21</v>
      </c>
    </row>
    <row r="55" spans="2:12" x14ac:dyDescent="0.35">
      <c r="B55" s="59">
        <v>45</v>
      </c>
      <c r="C55" s="59"/>
      <c r="D55" s="59"/>
      <c r="E55" s="63"/>
      <c r="F55" s="63"/>
      <c r="G55" s="63"/>
      <c r="H55" s="63"/>
      <c r="I55" s="59"/>
      <c r="L55" s="47">
        <v>22</v>
      </c>
    </row>
    <row r="56" spans="2:12" x14ac:dyDescent="0.35">
      <c r="B56" s="59">
        <v>46</v>
      </c>
      <c r="C56" s="59" t="s">
        <v>68</v>
      </c>
      <c r="D56" s="59" t="s">
        <v>671</v>
      </c>
      <c r="E56" s="63" t="s">
        <v>46</v>
      </c>
      <c r="F56" s="63">
        <v>115</v>
      </c>
      <c r="G56" s="63">
        <v>4</v>
      </c>
      <c r="H56" s="63">
        <v>1</v>
      </c>
      <c r="I56" s="59"/>
      <c r="L56" s="47">
        <v>23</v>
      </c>
    </row>
    <row r="57" spans="2:12" x14ac:dyDescent="0.35">
      <c r="B57" s="59">
        <v>47</v>
      </c>
      <c r="C57" s="59" t="s">
        <v>68</v>
      </c>
      <c r="D57" s="59" t="s">
        <v>669</v>
      </c>
      <c r="E57" s="63" t="s">
        <v>46</v>
      </c>
      <c r="F57" s="63">
        <v>115</v>
      </c>
      <c r="G57" s="63">
        <v>4</v>
      </c>
      <c r="H57" s="63">
        <v>1</v>
      </c>
      <c r="I57" s="59"/>
      <c r="L57" s="47">
        <v>24</v>
      </c>
    </row>
    <row r="58" spans="2:12" x14ac:dyDescent="0.35">
      <c r="B58" s="59">
        <v>48</v>
      </c>
      <c r="C58" s="59" t="s">
        <v>68</v>
      </c>
      <c r="D58" s="59" t="s">
        <v>670</v>
      </c>
      <c r="E58" s="63" t="s">
        <v>46</v>
      </c>
      <c r="F58" s="63">
        <v>115</v>
      </c>
      <c r="G58" s="63">
        <v>4</v>
      </c>
      <c r="H58" s="63">
        <v>1</v>
      </c>
      <c r="I58" s="59"/>
      <c r="L58" s="47">
        <v>25</v>
      </c>
    </row>
    <row r="59" spans="2:12" x14ac:dyDescent="0.35">
      <c r="B59" s="59">
        <v>49</v>
      </c>
      <c r="C59" s="59"/>
      <c r="D59" s="59"/>
      <c r="E59" s="63"/>
      <c r="F59" s="63"/>
      <c r="G59" s="63"/>
      <c r="H59" s="63"/>
      <c r="I59" s="59"/>
      <c r="L59" s="47">
        <v>26</v>
      </c>
    </row>
    <row r="60" spans="2:12" x14ac:dyDescent="0.35">
      <c r="B60" s="59">
        <v>50</v>
      </c>
      <c r="C60" s="59"/>
      <c r="D60" s="59"/>
      <c r="E60" s="63"/>
      <c r="F60" s="63"/>
      <c r="G60" s="63"/>
      <c r="H60" s="63"/>
      <c r="I60" s="59"/>
      <c r="L60" s="47">
        <v>27</v>
      </c>
    </row>
    <row r="61" spans="2:12" x14ac:dyDescent="0.35">
      <c r="B61" s="59">
        <v>51</v>
      </c>
      <c r="C61" s="59"/>
      <c r="D61" s="59"/>
      <c r="E61" s="63"/>
      <c r="F61" s="63"/>
      <c r="G61" s="63"/>
      <c r="H61" s="63"/>
      <c r="I61" s="59"/>
      <c r="L61" s="47">
        <v>28</v>
      </c>
    </row>
    <row r="62" spans="2:12" x14ac:dyDescent="0.35">
      <c r="B62" s="59">
        <v>52</v>
      </c>
      <c r="C62" s="59"/>
      <c r="D62" s="59"/>
      <c r="E62" s="63"/>
      <c r="F62" s="63"/>
      <c r="G62" s="63"/>
      <c r="H62" s="63"/>
      <c r="I62" s="59"/>
      <c r="L62" s="47">
        <v>29</v>
      </c>
    </row>
    <row r="63" spans="2:12" x14ac:dyDescent="0.35">
      <c r="B63" s="59">
        <v>53</v>
      </c>
      <c r="C63" s="59"/>
      <c r="D63" s="59"/>
      <c r="E63" s="63"/>
      <c r="F63" s="59"/>
      <c r="G63" s="59"/>
      <c r="H63" s="59"/>
      <c r="I63" s="59"/>
      <c r="L63" s="47">
        <v>30</v>
      </c>
    </row>
    <row r="64" spans="2:12" x14ac:dyDescent="0.35">
      <c r="B64" s="59">
        <v>54</v>
      </c>
      <c r="C64" s="59"/>
      <c r="D64" s="59"/>
      <c r="E64" s="63"/>
      <c r="F64" s="59"/>
      <c r="G64" s="59"/>
      <c r="H64" s="59"/>
      <c r="I64" s="59"/>
      <c r="L64" s="47">
        <v>31</v>
      </c>
    </row>
    <row r="65" spans="2:12" x14ac:dyDescent="0.35">
      <c r="B65" s="59">
        <v>55</v>
      </c>
      <c r="C65" s="59"/>
      <c r="D65" s="59"/>
      <c r="E65" s="63"/>
      <c r="F65" s="59"/>
      <c r="G65" s="59"/>
      <c r="H65" s="59"/>
      <c r="I65" s="59"/>
      <c r="L65" s="47">
        <v>32</v>
      </c>
    </row>
    <row r="66" spans="2:12" x14ac:dyDescent="0.35">
      <c r="B66" s="59">
        <v>56</v>
      </c>
      <c r="C66" s="59"/>
      <c r="D66" s="59"/>
      <c r="E66" s="63"/>
      <c r="F66" s="59"/>
      <c r="G66" s="59"/>
      <c r="H66" s="59"/>
      <c r="I66" s="59"/>
      <c r="L66" s="47">
        <v>33</v>
      </c>
    </row>
    <row r="67" spans="2:12" x14ac:dyDescent="0.35">
      <c r="B67" s="59">
        <v>57</v>
      </c>
      <c r="C67" s="59"/>
      <c r="D67" s="59"/>
      <c r="E67" s="63"/>
      <c r="F67" s="59"/>
      <c r="G67" s="59"/>
      <c r="H67" s="59"/>
      <c r="I67" s="59"/>
      <c r="L67" s="47">
        <v>34</v>
      </c>
    </row>
    <row r="68" spans="2:12" x14ac:dyDescent="0.35">
      <c r="B68" s="59">
        <v>58</v>
      </c>
      <c r="C68" s="59"/>
      <c r="D68" s="59"/>
      <c r="E68" s="63"/>
      <c r="F68" s="59"/>
      <c r="G68" s="59"/>
      <c r="H68" s="59"/>
      <c r="I68" s="59"/>
      <c r="L68" s="47">
        <v>35</v>
      </c>
    </row>
    <row r="69" spans="2:12" x14ac:dyDescent="0.35">
      <c r="B69" s="59">
        <v>59</v>
      </c>
      <c r="C69" s="59"/>
      <c r="D69" s="59"/>
      <c r="E69" s="63"/>
      <c r="F69" s="59"/>
      <c r="G69" s="59"/>
      <c r="H69" s="59"/>
      <c r="I69" s="59"/>
      <c r="L69" s="47">
        <v>36</v>
      </c>
    </row>
    <row r="70" spans="2:12" x14ac:dyDescent="0.35">
      <c r="B70" s="59">
        <v>60</v>
      </c>
      <c r="C70" s="59"/>
      <c r="D70" s="59"/>
      <c r="E70" s="63"/>
      <c r="F70" s="59"/>
      <c r="G70" s="59"/>
      <c r="H70" s="59"/>
      <c r="I70" s="59"/>
      <c r="L70" s="47">
        <v>37</v>
      </c>
    </row>
    <row r="71" spans="2:12" x14ac:dyDescent="0.35">
      <c r="L71" s="47">
        <v>38</v>
      </c>
    </row>
    <row r="72" spans="2:12" x14ac:dyDescent="0.35">
      <c r="L72" s="47">
        <v>39</v>
      </c>
    </row>
    <row r="73" spans="2:12" x14ac:dyDescent="0.35">
      <c r="L73" s="47">
        <v>40</v>
      </c>
    </row>
    <row r="74" spans="2:12" x14ac:dyDescent="0.35">
      <c r="L74" s="47">
        <v>41</v>
      </c>
    </row>
    <row r="75" spans="2:12" x14ac:dyDescent="0.35">
      <c r="L75" s="47">
        <v>42</v>
      </c>
    </row>
    <row r="76" spans="2:12" x14ac:dyDescent="0.35">
      <c r="L76" s="47">
        <v>43</v>
      </c>
    </row>
    <row r="77" spans="2:12" x14ac:dyDescent="0.35">
      <c r="L77" s="47">
        <v>44</v>
      </c>
    </row>
    <row r="78" spans="2:12" x14ac:dyDescent="0.35">
      <c r="L78" s="47">
        <v>45</v>
      </c>
    </row>
    <row r="79" spans="2:12" x14ac:dyDescent="0.35">
      <c r="L79" s="47">
        <v>46</v>
      </c>
    </row>
    <row r="80" spans="2:12" x14ac:dyDescent="0.35">
      <c r="L80" s="47">
        <v>47</v>
      </c>
    </row>
    <row r="81" spans="12:12" x14ac:dyDescent="0.35">
      <c r="L81" s="47">
        <v>48</v>
      </c>
    </row>
    <row r="82" spans="12:12" x14ac:dyDescent="0.35">
      <c r="L82" s="47">
        <v>49</v>
      </c>
    </row>
    <row r="83" spans="12:12" x14ac:dyDescent="0.35">
      <c r="L83" s="47">
        <v>50</v>
      </c>
    </row>
    <row r="84" spans="12:12" x14ac:dyDescent="0.35">
      <c r="L84" s="47">
        <v>51</v>
      </c>
    </row>
    <row r="85" spans="12:12" x14ac:dyDescent="0.35">
      <c r="L85" s="47">
        <v>52</v>
      </c>
    </row>
    <row r="86" spans="12:12" x14ac:dyDescent="0.35">
      <c r="L86" s="47">
        <v>53</v>
      </c>
    </row>
    <row r="87" spans="12:12" x14ac:dyDescent="0.35">
      <c r="L87" s="47">
        <v>54</v>
      </c>
    </row>
    <row r="88" spans="12:12" x14ac:dyDescent="0.35">
      <c r="L88" s="47">
        <v>55</v>
      </c>
    </row>
    <row r="89" spans="12:12" x14ac:dyDescent="0.35">
      <c r="L89" s="47">
        <v>56</v>
      </c>
    </row>
    <row r="90" spans="12:12" x14ac:dyDescent="0.35">
      <c r="L90" s="47">
        <v>57</v>
      </c>
    </row>
    <row r="91" spans="12:12" x14ac:dyDescent="0.35">
      <c r="L91" s="47">
        <v>58</v>
      </c>
    </row>
    <row r="92" spans="12:12" x14ac:dyDescent="0.35">
      <c r="L92" s="47">
        <v>59</v>
      </c>
    </row>
    <row r="93" spans="12:12" x14ac:dyDescent="0.35">
      <c r="L93" s="47">
        <v>60</v>
      </c>
    </row>
    <row r="94" spans="12:12" x14ac:dyDescent="0.35">
      <c r="L94" s="47">
        <v>61</v>
      </c>
    </row>
    <row r="95" spans="12:12" x14ac:dyDescent="0.35">
      <c r="L95" s="47">
        <v>62</v>
      </c>
    </row>
    <row r="96" spans="12:12" x14ac:dyDescent="0.35">
      <c r="L96" s="47">
        <v>63</v>
      </c>
    </row>
    <row r="97" spans="12:12" x14ac:dyDescent="0.35">
      <c r="L97" s="47">
        <v>64</v>
      </c>
    </row>
    <row r="98" spans="12:12" x14ac:dyDescent="0.35">
      <c r="L98" s="47">
        <v>65</v>
      </c>
    </row>
    <row r="99" spans="12:12" x14ac:dyDescent="0.35">
      <c r="L99" s="47">
        <v>66</v>
      </c>
    </row>
    <row r="100" spans="12:12" x14ac:dyDescent="0.35">
      <c r="L100" s="47">
        <v>67</v>
      </c>
    </row>
    <row r="101" spans="12:12" x14ac:dyDescent="0.35">
      <c r="L101" s="47">
        <v>68</v>
      </c>
    </row>
    <row r="102" spans="12:12" x14ac:dyDescent="0.35">
      <c r="L102" s="47">
        <v>69</v>
      </c>
    </row>
    <row r="103" spans="12:12" x14ac:dyDescent="0.35">
      <c r="L103" s="47">
        <v>70</v>
      </c>
    </row>
    <row r="104" spans="12:12" x14ac:dyDescent="0.35">
      <c r="L104" s="47">
        <v>71</v>
      </c>
    </row>
    <row r="105" spans="12:12" x14ac:dyDescent="0.35">
      <c r="L105" s="47">
        <v>72</v>
      </c>
    </row>
    <row r="106" spans="12:12" x14ac:dyDescent="0.35">
      <c r="L106" s="47">
        <v>73</v>
      </c>
    </row>
    <row r="107" spans="12:12" x14ac:dyDescent="0.35">
      <c r="L107" s="47">
        <v>74</v>
      </c>
    </row>
    <row r="108" spans="12:12" x14ac:dyDescent="0.35">
      <c r="L108" s="47">
        <v>75</v>
      </c>
    </row>
    <row r="109" spans="12:12" x14ac:dyDescent="0.35">
      <c r="L109" s="47">
        <v>76</v>
      </c>
    </row>
    <row r="110" spans="12:12" x14ac:dyDescent="0.35">
      <c r="L110" s="47">
        <v>77</v>
      </c>
    </row>
    <row r="111" spans="12:12" x14ac:dyDescent="0.35">
      <c r="L111" s="47">
        <v>78</v>
      </c>
    </row>
    <row r="112" spans="12:12" x14ac:dyDescent="0.35">
      <c r="L112" s="47">
        <v>79</v>
      </c>
    </row>
    <row r="113" spans="12:12" x14ac:dyDescent="0.35">
      <c r="L113" s="47">
        <v>80</v>
      </c>
    </row>
    <row r="114" spans="12:12" x14ac:dyDescent="0.35">
      <c r="L114" s="47">
        <v>81</v>
      </c>
    </row>
    <row r="115" spans="12:12" x14ac:dyDescent="0.35">
      <c r="L115" s="47">
        <v>82</v>
      </c>
    </row>
    <row r="116" spans="12:12" x14ac:dyDescent="0.35">
      <c r="L116" s="47">
        <v>83</v>
      </c>
    </row>
    <row r="117" spans="12:12" x14ac:dyDescent="0.35">
      <c r="L117" s="47">
        <v>84</v>
      </c>
    </row>
    <row r="118" spans="12:12" x14ac:dyDescent="0.35">
      <c r="L118" s="47">
        <v>85</v>
      </c>
    </row>
    <row r="119" spans="12:12" x14ac:dyDescent="0.35">
      <c r="L119" s="47">
        <v>86</v>
      </c>
    </row>
    <row r="120" spans="12:12" x14ac:dyDescent="0.35">
      <c r="L120" s="47">
        <v>87</v>
      </c>
    </row>
    <row r="121" spans="12:12" x14ac:dyDescent="0.35">
      <c r="L121" s="47">
        <v>88</v>
      </c>
    </row>
    <row r="122" spans="12:12" x14ac:dyDescent="0.35">
      <c r="L122" s="47">
        <v>89</v>
      </c>
    </row>
    <row r="123" spans="12:12" x14ac:dyDescent="0.35">
      <c r="L123" s="47">
        <v>90</v>
      </c>
    </row>
    <row r="124" spans="12:12" x14ac:dyDescent="0.35">
      <c r="L124" s="47">
        <v>91</v>
      </c>
    </row>
    <row r="125" spans="12:12" x14ac:dyDescent="0.35">
      <c r="L125" s="47">
        <v>92</v>
      </c>
    </row>
    <row r="126" spans="12:12" x14ac:dyDescent="0.35">
      <c r="L126" s="47">
        <v>93</v>
      </c>
    </row>
    <row r="127" spans="12:12" x14ac:dyDescent="0.35">
      <c r="L127" s="47">
        <v>94</v>
      </c>
    </row>
    <row r="128" spans="12:12" x14ac:dyDescent="0.35">
      <c r="L128" s="47">
        <v>95</v>
      </c>
    </row>
    <row r="129" spans="12:12" x14ac:dyDescent="0.35">
      <c r="L129" s="47">
        <v>96</v>
      </c>
    </row>
    <row r="130" spans="12:12" x14ac:dyDescent="0.35">
      <c r="L130" s="47">
        <v>97</v>
      </c>
    </row>
    <row r="131" spans="12:12" x14ac:dyDescent="0.35">
      <c r="L131" s="47">
        <v>98</v>
      </c>
    </row>
    <row r="132" spans="12:12" x14ac:dyDescent="0.35">
      <c r="L132" s="47">
        <v>99</v>
      </c>
    </row>
    <row r="133" spans="12:12" x14ac:dyDescent="0.35">
      <c r="L133" s="47">
        <v>100</v>
      </c>
    </row>
    <row r="134" spans="12:12" x14ac:dyDescent="0.35">
      <c r="L134" s="47">
        <v>101</v>
      </c>
    </row>
    <row r="135" spans="12:12" x14ac:dyDescent="0.35">
      <c r="L135" s="47">
        <v>102</v>
      </c>
    </row>
    <row r="136" spans="12:12" x14ac:dyDescent="0.35">
      <c r="L136" s="47">
        <v>103</v>
      </c>
    </row>
    <row r="137" spans="12:12" x14ac:dyDescent="0.35">
      <c r="L137" s="47">
        <v>104</v>
      </c>
    </row>
    <row r="138" spans="12:12" x14ac:dyDescent="0.35">
      <c r="L138" s="47">
        <v>105</v>
      </c>
    </row>
    <row r="139" spans="12:12" x14ac:dyDescent="0.35">
      <c r="L139" s="47">
        <v>106</v>
      </c>
    </row>
    <row r="140" spans="12:12" x14ac:dyDescent="0.35">
      <c r="L140" s="47">
        <v>107</v>
      </c>
    </row>
    <row r="141" spans="12:12" x14ac:dyDescent="0.35">
      <c r="L141" s="47">
        <v>108</v>
      </c>
    </row>
    <row r="142" spans="12:12" x14ac:dyDescent="0.35">
      <c r="L142" s="47">
        <v>109</v>
      </c>
    </row>
    <row r="143" spans="12:12" x14ac:dyDescent="0.35">
      <c r="L143" s="47">
        <v>110</v>
      </c>
    </row>
    <row r="144" spans="12:12" x14ac:dyDescent="0.35">
      <c r="L144" s="47">
        <v>111</v>
      </c>
    </row>
    <row r="145" spans="12:12" x14ac:dyDescent="0.35">
      <c r="L145" s="47">
        <v>112</v>
      </c>
    </row>
    <row r="146" spans="12:12" x14ac:dyDescent="0.35">
      <c r="L146" s="47">
        <v>113</v>
      </c>
    </row>
    <row r="147" spans="12:12" x14ac:dyDescent="0.35">
      <c r="L147" s="47">
        <v>114</v>
      </c>
    </row>
    <row r="148" spans="12:12" x14ac:dyDescent="0.35">
      <c r="L148" s="47">
        <v>115</v>
      </c>
    </row>
    <row r="149" spans="12:12" x14ac:dyDescent="0.35">
      <c r="L149" s="47">
        <v>116</v>
      </c>
    </row>
    <row r="150" spans="12:12" x14ac:dyDescent="0.35">
      <c r="L150" s="47">
        <v>117</v>
      </c>
    </row>
    <row r="151" spans="12:12" x14ac:dyDescent="0.35">
      <c r="L151" s="47">
        <v>118</v>
      </c>
    </row>
    <row r="152" spans="12:12" x14ac:dyDescent="0.35">
      <c r="L152" s="47">
        <v>119</v>
      </c>
    </row>
    <row r="153" spans="12:12" x14ac:dyDescent="0.35">
      <c r="L153" s="47">
        <v>120</v>
      </c>
    </row>
    <row r="154" spans="12:12" x14ac:dyDescent="0.35">
      <c r="L154" s="47">
        <v>121</v>
      </c>
    </row>
    <row r="155" spans="12:12" x14ac:dyDescent="0.35">
      <c r="L155" s="47">
        <v>122</v>
      </c>
    </row>
    <row r="156" spans="12:12" x14ac:dyDescent="0.35">
      <c r="L156" s="47">
        <v>123</v>
      </c>
    </row>
    <row r="157" spans="12:12" x14ac:dyDescent="0.35">
      <c r="L157" s="47">
        <v>124</v>
      </c>
    </row>
    <row r="158" spans="12:12" x14ac:dyDescent="0.35">
      <c r="L158" s="47">
        <v>125</v>
      </c>
    </row>
    <row r="159" spans="12:12" x14ac:dyDescent="0.35">
      <c r="L159" s="47">
        <v>126</v>
      </c>
    </row>
    <row r="160" spans="12:12" x14ac:dyDescent="0.35">
      <c r="L160" s="47">
        <v>127</v>
      </c>
    </row>
    <row r="161" spans="12:12" x14ac:dyDescent="0.35">
      <c r="L161" s="47">
        <v>128</v>
      </c>
    </row>
    <row r="162" spans="12:12" x14ac:dyDescent="0.35">
      <c r="L162" s="47">
        <v>129</v>
      </c>
    </row>
    <row r="163" spans="12:12" x14ac:dyDescent="0.35">
      <c r="L163" s="47">
        <v>130</v>
      </c>
    </row>
    <row r="164" spans="12:12" x14ac:dyDescent="0.35">
      <c r="L164" s="47">
        <v>131</v>
      </c>
    </row>
    <row r="165" spans="12:12" x14ac:dyDescent="0.35">
      <c r="L165" s="47">
        <v>132</v>
      </c>
    </row>
    <row r="166" spans="12:12" x14ac:dyDescent="0.35">
      <c r="L166" s="47">
        <v>133</v>
      </c>
    </row>
    <row r="167" spans="12:12" x14ac:dyDescent="0.35">
      <c r="L167" s="47">
        <v>134</v>
      </c>
    </row>
    <row r="168" spans="12:12" x14ac:dyDescent="0.35">
      <c r="L168" s="47">
        <v>135</v>
      </c>
    </row>
    <row r="169" spans="12:12" x14ac:dyDescent="0.35">
      <c r="L169" s="47">
        <v>136</v>
      </c>
    </row>
    <row r="170" spans="12:12" x14ac:dyDescent="0.35">
      <c r="L170" s="47">
        <v>137</v>
      </c>
    </row>
    <row r="171" spans="12:12" x14ac:dyDescent="0.35">
      <c r="L171" s="47">
        <v>138</v>
      </c>
    </row>
    <row r="172" spans="12:12" x14ac:dyDescent="0.35">
      <c r="L172" s="47">
        <v>139</v>
      </c>
    </row>
    <row r="173" spans="12:12" x14ac:dyDescent="0.35">
      <c r="L173" s="47">
        <v>140</v>
      </c>
    </row>
    <row r="174" spans="12:12" x14ac:dyDescent="0.35">
      <c r="L174" s="47">
        <v>141</v>
      </c>
    </row>
    <row r="175" spans="12:12" x14ac:dyDescent="0.35">
      <c r="L175" s="47">
        <v>142</v>
      </c>
    </row>
    <row r="176" spans="12:12" x14ac:dyDescent="0.35">
      <c r="L176" s="47">
        <v>143</v>
      </c>
    </row>
    <row r="177" spans="12:12" x14ac:dyDescent="0.35">
      <c r="L177" s="47">
        <v>144</v>
      </c>
    </row>
    <row r="178" spans="12:12" x14ac:dyDescent="0.35">
      <c r="L178" s="47">
        <v>145</v>
      </c>
    </row>
    <row r="179" spans="12:12" x14ac:dyDescent="0.35">
      <c r="L179" s="47">
        <v>146</v>
      </c>
    </row>
    <row r="180" spans="12:12" x14ac:dyDescent="0.35">
      <c r="L180" s="47">
        <v>147</v>
      </c>
    </row>
    <row r="181" spans="12:12" x14ac:dyDescent="0.35">
      <c r="L181" s="47">
        <v>148</v>
      </c>
    </row>
    <row r="182" spans="12:12" x14ac:dyDescent="0.35">
      <c r="L182" s="47">
        <v>149</v>
      </c>
    </row>
    <row r="183" spans="12:12" x14ac:dyDescent="0.35">
      <c r="L183" s="47">
        <v>150</v>
      </c>
    </row>
    <row r="184" spans="12:12" x14ac:dyDescent="0.35">
      <c r="L184" s="47">
        <v>151</v>
      </c>
    </row>
    <row r="185" spans="12:12" x14ac:dyDescent="0.35">
      <c r="L185" s="47">
        <v>152</v>
      </c>
    </row>
    <row r="186" spans="12:12" x14ac:dyDescent="0.35">
      <c r="L186" s="47">
        <v>153</v>
      </c>
    </row>
    <row r="187" spans="12:12" x14ac:dyDescent="0.35">
      <c r="L187" s="47">
        <v>154</v>
      </c>
    </row>
    <row r="188" spans="12:12" x14ac:dyDescent="0.35">
      <c r="L188" s="47">
        <v>155</v>
      </c>
    </row>
    <row r="189" spans="12:12" x14ac:dyDescent="0.35">
      <c r="L189" s="47">
        <v>156</v>
      </c>
    </row>
    <row r="190" spans="12:12" x14ac:dyDescent="0.35">
      <c r="L190" s="47">
        <v>157</v>
      </c>
    </row>
    <row r="191" spans="12:12" x14ac:dyDescent="0.35">
      <c r="L191" s="47">
        <v>158</v>
      </c>
    </row>
    <row r="192" spans="12:12" x14ac:dyDescent="0.35">
      <c r="L192" s="47">
        <v>159</v>
      </c>
    </row>
    <row r="193" spans="12:12" x14ac:dyDescent="0.35">
      <c r="L193" s="47">
        <v>160</v>
      </c>
    </row>
    <row r="194" spans="12:12" x14ac:dyDescent="0.35">
      <c r="L194" s="47">
        <v>161</v>
      </c>
    </row>
    <row r="195" spans="12:12" x14ac:dyDescent="0.35">
      <c r="L195" s="47">
        <v>162</v>
      </c>
    </row>
    <row r="196" spans="12:12" x14ac:dyDescent="0.35">
      <c r="L196" s="47">
        <v>163</v>
      </c>
    </row>
    <row r="197" spans="12:12" x14ac:dyDescent="0.35">
      <c r="L197" s="47">
        <v>164</v>
      </c>
    </row>
    <row r="198" spans="12:12" x14ac:dyDescent="0.35">
      <c r="L198" s="47">
        <v>165</v>
      </c>
    </row>
    <row r="199" spans="12:12" x14ac:dyDescent="0.35">
      <c r="L199" s="47">
        <v>166</v>
      </c>
    </row>
    <row r="200" spans="12:12" x14ac:dyDescent="0.35">
      <c r="L200" s="47">
        <v>167</v>
      </c>
    </row>
    <row r="201" spans="12:12" x14ac:dyDescent="0.35">
      <c r="L201" s="47">
        <v>168</v>
      </c>
    </row>
    <row r="202" spans="12:12" x14ac:dyDescent="0.35">
      <c r="L202" s="47">
        <v>169</v>
      </c>
    </row>
    <row r="203" spans="12:12" x14ac:dyDescent="0.35">
      <c r="L203" s="47">
        <v>170</v>
      </c>
    </row>
    <row r="204" spans="12:12" x14ac:dyDescent="0.35">
      <c r="L204" s="47">
        <v>171</v>
      </c>
    </row>
    <row r="205" spans="12:12" x14ac:dyDescent="0.35">
      <c r="L205" s="47">
        <v>172</v>
      </c>
    </row>
    <row r="206" spans="12:12" x14ac:dyDescent="0.35">
      <c r="L206" s="47">
        <v>173</v>
      </c>
    </row>
    <row r="207" spans="12:12" x14ac:dyDescent="0.35">
      <c r="L207" s="47">
        <v>174</v>
      </c>
    </row>
    <row r="208" spans="12:12" x14ac:dyDescent="0.35">
      <c r="L208" s="47">
        <v>175</v>
      </c>
    </row>
    <row r="209" spans="12:12" x14ac:dyDescent="0.35">
      <c r="L209" s="47">
        <v>176</v>
      </c>
    </row>
    <row r="210" spans="12:12" x14ac:dyDescent="0.35">
      <c r="L210" s="47">
        <v>177</v>
      </c>
    </row>
    <row r="211" spans="12:12" x14ac:dyDescent="0.35">
      <c r="L211" s="47">
        <v>178</v>
      </c>
    </row>
    <row r="212" spans="12:12" x14ac:dyDescent="0.35">
      <c r="L212" s="47">
        <v>179</v>
      </c>
    </row>
    <row r="213" spans="12:12" x14ac:dyDescent="0.35">
      <c r="L213" s="47">
        <v>180</v>
      </c>
    </row>
    <row r="214" spans="12:12" x14ac:dyDescent="0.35">
      <c r="L214" s="47">
        <v>181</v>
      </c>
    </row>
    <row r="215" spans="12:12" x14ac:dyDescent="0.35">
      <c r="L215" s="47">
        <v>182</v>
      </c>
    </row>
    <row r="216" spans="12:12" x14ac:dyDescent="0.35">
      <c r="L216" s="47">
        <v>183</v>
      </c>
    </row>
    <row r="217" spans="12:12" x14ac:dyDescent="0.35">
      <c r="L217" s="47">
        <v>184</v>
      </c>
    </row>
    <row r="218" spans="12:12" x14ac:dyDescent="0.35">
      <c r="L218" s="47">
        <v>185</v>
      </c>
    </row>
    <row r="219" spans="12:12" x14ac:dyDescent="0.35">
      <c r="L219" s="47">
        <v>186</v>
      </c>
    </row>
    <row r="220" spans="12:12" x14ac:dyDescent="0.35">
      <c r="L220" s="47">
        <v>187</v>
      </c>
    </row>
    <row r="221" spans="12:12" x14ac:dyDescent="0.35">
      <c r="L221" s="47">
        <v>188</v>
      </c>
    </row>
    <row r="222" spans="12:12" x14ac:dyDescent="0.35">
      <c r="L222" s="47">
        <v>189</v>
      </c>
    </row>
    <row r="223" spans="12:12" x14ac:dyDescent="0.35">
      <c r="L223" s="47">
        <v>190</v>
      </c>
    </row>
    <row r="224" spans="12:12" x14ac:dyDescent="0.35">
      <c r="L224" s="47">
        <v>191</v>
      </c>
    </row>
    <row r="225" spans="12:12" x14ac:dyDescent="0.35">
      <c r="L225" s="47">
        <v>192</v>
      </c>
    </row>
    <row r="226" spans="12:12" x14ac:dyDescent="0.35">
      <c r="L226" s="47">
        <v>193</v>
      </c>
    </row>
    <row r="227" spans="12:12" x14ac:dyDescent="0.35">
      <c r="L227" s="47">
        <v>194</v>
      </c>
    </row>
    <row r="228" spans="12:12" x14ac:dyDescent="0.35">
      <c r="L228" s="47">
        <v>195</v>
      </c>
    </row>
    <row r="229" spans="12:12" x14ac:dyDescent="0.35">
      <c r="L229" s="47">
        <v>196</v>
      </c>
    </row>
    <row r="230" spans="12:12" x14ac:dyDescent="0.35">
      <c r="L230" s="47">
        <v>197</v>
      </c>
    </row>
    <row r="231" spans="12:12" x14ac:dyDescent="0.35">
      <c r="L231" s="47">
        <v>198</v>
      </c>
    </row>
    <row r="232" spans="12:12" x14ac:dyDescent="0.35">
      <c r="L232" s="47">
        <v>199</v>
      </c>
    </row>
    <row r="233" spans="12:12" x14ac:dyDescent="0.35">
      <c r="L233" s="47">
        <v>200</v>
      </c>
    </row>
    <row r="234" spans="12:12" x14ac:dyDescent="0.35">
      <c r="L234" s="47">
        <v>201</v>
      </c>
    </row>
    <row r="235" spans="12:12" x14ac:dyDescent="0.35">
      <c r="L235" s="47">
        <v>202</v>
      </c>
    </row>
    <row r="236" spans="12:12" x14ac:dyDescent="0.35">
      <c r="L236" s="47">
        <v>203</v>
      </c>
    </row>
    <row r="237" spans="12:12" x14ac:dyDescent="0.35">
      <c r="L237" s="47">
        <v>204</v>
      </c>
    </row>
    <row r="238" spans="12:12" x14ac:dyDescent="0.35">
      <c r="L238" s="47">
        <v>205</v>
      </c>
    </row>
    <row r="239" spans="12:12" x14ac:dyDescent="0.35">
      <c r="L239" s="47">
        <v>206</v>
      </c>
    </row>
    <row r="240" spans="12:12" x14ac:dyDescent="0.35">
      <c r="L240" s="47">
        <v>207</v>
      </c>
    </row>
    <row r="241" spans="12:12" x14ac:dyDescent="0.35">
      <c r="L241" s="47">
        <v>208</v>
      </c>
    </row>
    <row r="242" spans="12:12" x14ac:dyDescent="0.35">
      <c r="L242" s="47">
        <v>209</v>
      </c>
    </row>
    <row r="243" spans="12:12" x14ac:dyDescent="0.35">
      <c r="L243" s="47">
        <v>210</v>
      </c>
    </row>
    <row r="244" spans="12:12" x14ac:dyDescent="0.35">
      <c r="L244" s="47">
        <v>211</v>
      </c>
    </row>
    <row r="245" spans="12:12" x14ac:dyDescent="0.35">
      <c r="L245" s="47">
        <v>212</v>
      </c>
    </row>
    <row r="246" spans="12:12" x14ac:dyDescent="0.35">
      <c r="L246" s="47">
        <v>213</v>
      </c>
    </row>
    <row r="247" spans="12:12" x14ac:dyDescent="0.35">
      <c r="L247" s="47">
        <v>214</v>
      </c>
    </row>
    <row r="248" spans="12:12" x14ac:dyDescent="0.35">
      <c r="L248" s="47">
        <v>215</v>
      </c>
    </row>
    <row r="249" spans="12:12" x14ac:dyDescent="0.35">
      <c r="L249" s="47">
        <v>216</v>
      </c>
    </row>
    <row r="250" spans="12:12" x14ac:dyDescent="0.35">
      <c r="L250" s="47">
        <v>217</v>
      </c>
    </row>
    <row r="251" spans="12:12" x14ac:dyDescent="0.35">
      <c r="L251" s="47">
        <v>218</v>
      </c>
    </row>
    <row r="252" spans="12:12" x14ac:dyDescent="0.35">
      <c r="L252" s="47">
        <v>219</v>
      </c>
    </row>
    <row r="253" spans="12:12" x14ac:dyDescent="0.35">
      <c r="L253" s="47">
        <v>220</v>
      </c>
    </row>
    <row r="254" spans="12:12" x14ac:dyDescent="0.35">
      <c r="L254" s="47">
        <v>221</v>
      </c>
    </row>
    <row r="255" spans="12:12" x14ac:dyDescent="0.35">
      <c r="L255" s="47">
        <v>222</v>
      </c>
    </row>
    <row r="256" spans="12:12" x14ac:dyDescent="0.35">
      <c r="L256" s="47">
        <v>223</v>
      </c>
    </row>
    <row r="257" spans="12:12" x14ac:dyDescent="0.35">
      <c r="L257" s="47">
        <v>224</v>
      </c>
    </row>
    <row r="258" spans="12:12" x14ac:dyDescent="0.35">
      <c r="L258" s="47">
        <v>225</v>
      </c>
    </row>
    <row r="259" spans="12:12" x14ac:dyDescent="0.35">
      <c r="L259" s="47">
        <v>226</v>
      </c>
    </row>
    <row r="260" spans="12:12" x14ac:dyDescent="0.35">
      <c r="L260" s="47">
        <v>227</v>
      </c>
    </row>
    <row r="261" spans="12:12" x14ac:dyDescent="0.35">
      <c r="L261" s="47">
        <v>228</v>
      </c>
    </row>
    <row r="262" spans="12:12" x14ac:dyDescent="0.35">
      <c r="L262" s="47">
        <v>229</v>
      </c>
    </row>
    <row r="263" spans="12:12" x14ac:dyDescent="0.35">
      <c r="L263" s="47">
        <v>230</v>
      </c>
    </row>
    <row r="264" spans="12:12" x14ac:dyDescent="0.35">
      <c r="L264" s="47">
        <v>231</v>
      </c>
    </row>
    <row r="265" spans="12:12" x14ac:dyDescent="0.35">
      <c r="L265" s="47">
        <v>232</v>
      </c>
    </row>
    <row r="266" spans="12:12" x14ac:dyDescent="0.35">
      <c r="L266" s="47">
        <v>233</v>
      </c>
    </row>
    <row r="267" spans="12:12" x14ac:dyDescent="0.35">
      <c r="L267" s="47">
        <v>234</v>
      </c>
    </row>
    <row r="268" spans="12:12" x14ac:dyDescent="0.35">
      <c r="L268" s="47">
        <v>235</v>
      </c>
    </row>
    <row r="269" spans="12:12" x14ac:dyDescent="0.35">
      <c r="L269" s="47">
        <v>236</v>
      </c>
    </row>
    <row r="270" spans="12:12" x14ac:dyDescent="0.35">
      <c r="L270" s="47">
        <v>237</v>
      </c>
    </row>
    <row r="271" spans="12:12" x14ac:dyDescent="0.35">
      <c r="L271" s="47">
        <v>238</v>
      </c>
    </row>
    <row r="272" spans="12:12" x14ac:dyDescent="0.35">
      <c r="L272" s="47">
        <v>239</v>
      </c>
    </row>
    <row r="273" spans="12:12" x14ac:dyDescent="0.35">
      <c r="L273" s="47">
        <v>240</v>
      </c>
    </row>
    <row r="274" spans="12:12" x14ac:dyDescent="0.35">
      <c r="L274" s="47">
        <v>241</v>
      </c>
    </row>
    <row r="275" spans="12:12" x14ac:dyDescent="0.35">
      <c r="L275" s="47">
        <v>242</v>
      </c>
    </row>
    <row r="276" spans="12:12" x14ac:dyDescent="0.35">
      <c r="L276" s="47">
        <v>243</v>
      </c>
    </row>
    <row r="277" spans="12:12" x14ac:dyDescent="0.35">
      <c r="L277" s="47">
        <v>244</v>
      </c>
    </row>
    <row r="278" spans="12:12" x14ac:dyDescent="0.35">
      <c r="L278" s="47">
        <v>245</v>
      </c>
    </row>
    <row r="279" spans="12:12" x14ac:dyDescent="0.35">
      <c r="L279" s="47">
        <v>246</v>
      </c>
    </row>
    <row r="280" spans="12:12" x14ac:dyDescent="0.35">
      <c r="L280" s="47">
        <v>247</v>
      </c>
    </row>
    <row r="281" spans="12:12" x14ac:dyDescent="0.35">
      <c r="L281" s="47">
        <v>248</v>
      </c>
    </row>
    <row r="282" spans="12:12" x14ac:dyDescent="0.35">
      <c r="L282" s="47">
        <v>249</v>
      </c>
    </row>
    <row r="283" spans="12:12" x14ac:dyDescent="0.35">
      <c r="L283" s="47">
        <v>250</v>
      </c>
    </row>
    <row r="284" spans="12:12" x14ac:dyDescent="0.35">
      <c r="L284" s="47">
        <v>251</v>
      </c>
    </row>
    <row r="285" spans="12:12" x14ac:dyDescent="0.35">
      <c r="L285" s="47">
        <v>252</v>
      </c>
    </row>
    <row r="286" spans="12:12" x14ac:dyDescent="0.35">
      <c r="L286" s="47">
        <v>253</v>
      </c>
    </row>
    <row r="287" spans="12:12" x14ac:dyDescent="0.35">
      <c r="L287" s="47">
        <v>254</v>
      </c>
    </row>
    <row r="288" spans="12:12" x14ac:dyDescent="0.35">
      <c r="L288" s="47">
        <v>255</v>
      </c>
    </row>
    <row r="289" spans="12:12" x14ac:dyDescent="0.35">
      <c r="L289" s="47">
        <v>256</v>
      </c>
    </row>
    <row r="290" spans="12:12" x14ac:dyDescent="0.35">
      <c r="L290" s="47">
        <v>257</v>
      </c>
    </row>
    <row r="291" spans="12:12" x14ac:dyDescent="0.35">
      <c r="L291" s="47">
        <v>258</v>
      </c>
    </row>
    <row r="292" spans="12:12" x14ac:dyDescent="0.35">
      <c r="L292" s="47">
        <v>259</v>
      </c>
    </row>
    <row r="293" spans="12:12" x14ac:dyDescent="0.35">
      <c r="L293" s="47">
        <v>260</v>
      </c>
    </row>
    <row r="294" spans="12:12" x14ac:dyDescent="0.35">
      <c r="L294" s="47">
        <v>261</v>
      </c>
    </row>
    <row r="295" spans="12:12" x14ac:dyDescent="0.35">
      <c r="L295" s="47">
        <v>262</v>
      </c>
    </row>
    <row r="296" spans="12:12" x14ac:dyDescent="0.35">
      <c r="L296" s="47">
        <v>263</v>
      </c>
    </row>
    <row r="297" spans="12:12" x14ac:dyDescent="0.35">
      <c r="L297" s="47">
        <v>264</v>
      </c>
    </row>
    <row r="298" spans="12:12" x14ac:dyDescent="0.35">
      <c r="L298" s="47">
        <v>265</v>
      </c>
    </row>
    <row r="299" spans="12:12" x14ac:dyDescent="0.35">
      <c r="L299" s="47">
        <v>266</v>
      </c>
    </row>
    <row r="300" spans="12:12" x14ac:dyDescent="0.35">
      <c r="L300" s="47">
        <v>267</v>
      </c>
    </row>
    <row r="301" spans="12:12" x14ac:dyDescent="0.35">
      <c r="L301" s="47">
        <v>268</v>
      </c>
    </row>
    <row r="302" spans="12:12" x14ac:dyDescent="0.35">
      <c r="L302" s="47">
        <v>269</v>
      </c>
    </row>
    <row r="303" spans="12:12" x14ac:dyDescent="0.35">
      <c r="L303" s="47">
        <v>270</v>
      </c>
    </row>
    <row r="304" spans="12:12" x14ac:dyDescent="0.35">
      <c r="L304" s="47">
        <v>271</v>
      </c>
    </row>
    <row r="305" spans="12:12" x14ac:dyDescent="0.35">
      <c r="L305" s="47">
        <v>272</v>
      </c>
    </row>
    <row r="306" spans="12:12" x14ac:dyDescent="0.35">
      <c r="L306" s="47">
        <v>273</v>
      </c>
    </row>
    <row r="307" spans="12:12" x14ac:dyDescent="0.35">
      <c r="L307" s="47">
        <v>274</v>
      </c>
    </row>
    <row r="308" spans="12:12" x14ac:dyDescent="0.35">
      <c r="L308" s="47">
        <v>275</v>
      </c>
    </row>
    <row r="309" spans="12:12" x14ac:dyDescent="0.35">
      <c r="L309" s="47">
        <v>276</v>
      </c>
    </row>
    <row r="310" spans="12:12" x14ac:dyDescent="0.35">
      <c r="L310" s="47">
        <v>277</v>
      </c>
    </row>
    <row r="311" spans="12:12" x14ac:dyDescent="0.35">
      <c r="L311" s="47">
        <v>278</v>
      </c>
    </row>
    <row r="312" spans="12:12" x14ac:dyDescent="0.35">
      <c r="L312" s="47">
        <v>279</v>
      </c>
    </row>
    <row r="313" spans="12:12" x14ac:dyDescent="0.35">
      <c r="L313" s="47">
        <v>280</v>
      </c>
    </row>
    <row r="314" spans="12:12" x14ac:dyDescent="0.35">
      <c r="L314" s="47">
        <v>281</v>
      </c>
    </row>
    <row r="315" spans="12:12" x14ac:dyDescent="0.35">
      <c r="L315" s="47">
        <v>282</v>
      </c>
    </row>
    <row r="316" spans="12:12" x14ac:dyDescent="0.35">
      <c r="L316" s="47">
        <v>283</v>
      </c>
    </row>
    <row r="317" spans="12:12" x14ac:dyDescent="0.35">
      <c r="L317" s="47">
        <v>284</v>
      </c>
    </row>
    <row r="318" spans="12:12" x14ac:dyDescent="0.35">
      <c r="L318" s="47">
        <v>285</v>
      </c>
    </row>
    <row r="319" spans="12:12" x14ac:dyDescent="0.35">
      <c r="L319" s="47">
        <v>286</v>
      </c>
    </row>
    <row r="320" spans="12:12" x14ac:dyDescent="0.35">
      <c r="L320" s="47">
        <v>287</v>
      </c>
    </row>
    <row r="321" spans="12:12" x14ac:dyDescent="0.35">
      <c r="L321" s="47">
        <v>288</v>
      </c>
    </row>
    <row r="322" spans="12:12" x14ac:dyDescent="0.35">
      <c r="L322" s="47">
        <v>289</v>
      </c>
    </row>
    <row r="323" spans="12:12" x14ac:dyDescent="0.35">
      <c r="L323" s="47">
        <v>290</v>
      </c>
    </row>
    <row r="324" spans="12:12" x14ac:dyDescent="0.35">
      <c r="L324" s="47">
        <v>291</v>
      </c>
    </row>
    <row r="325" spans="12:12" x14ac:dyDescent="0.35">
      <c r="L325" s="47">
        <v>292</v>
      </c>
    </row>
    <row r="326" spans="12:12" x14ac:dyDescent="0.35">
      <c r="L326" s="47">
        <v>293</v>
      </c>
    </row>
    <row r="327" spans="12:12" x14ac:dyDescent="0.35">
      <c r="L327" s="47">
        <v>294</v>
      </c>
    </row>
    <row r="328" spans="12:12" x14ac:dyDescent="0.35">
      <c r="L328" s="47">
        <v>295</v>
      </c>
    </row>
    <row r="329" spans="12:12" x14ac:dyDescent="0.35">
      <c r="L329" s="47">
        <v>296</v>
      </c>
    </row>
    <row r="330" spans="12:12" x14ac:dyDescent="0.35">
      <c r="L330" s="47">
        <v>297</v>
      </c>
    </row>
    <row r="331" spans="12:12" x14ac:dyDescent="0.35">
      <c r="L331" s="47">
        <v>298</v>
      </c>
    </row>
    <row r="332" spans="12:12" x14ac:dyDescent="0.35">
      <c r="L332" s="47">
        <v>299</v>
      </c>
    </row>
    <row r="333" spans="12:12" x14ac:dyDescent="0.35">
      <c r="L333" s="47">
        <v>300</v>
      </c>
    </row>
    <row r="334" spans="12:12" x14ac:dyDescent="0.35">
      <c r="L334" s="47">
        <v>301</v>
      </c>
    </row>
    <row r="335" spans="12:12" x14ac:dyDescent="0.35">
      <c r="L335" s="47">
        <v>302</v>
      </c>
    </row>
    <row r="336" spans="12:12" x14ac:dyDescent="0.35">
      <c r="L336" s="47">
        <v>303</v>
      </c>
    </row>
    <row r="337" spans="12:12" x14ac:dyDescent="0.35">
      <c r="L337" s="47">
        <v>304</v>
      </c>
    </row>
    <row r="338" spans="12:12" x14ac:dyDescent="0.35">
      <c r="L338" s="47">
        <v>305</v>
      </c>
    </row>
    <row r="339" spans="12:12" x14ac:dyDescent="0.35">
      <c r="L339" s="47">
        <v>306</v>
      </c>
    </row>
    <row r="340" spans="12:12" x14ac:dyDescent="0.35">
      <c r="L340" s="47">
        <v>307</v>
      </c>
    </row>
    <row r="341" spans="12:12" x14ac:dyDescent="0.35">
      <c r="L341" s="47">
        <v>308</v>
      </c>
    </row>
    <row r="342" spans="12:12" x14ac:dyDescent="0.35">
      <c r="L342" s="47">
        <v>309</v>
      </c>
    </row>
    <row r="343" spans="12:12" x14ac:dyDescent="0.35">
      <c r="L343" s="47">
        <v>310</v>
      </c>
    </row>
    <row r="344" spans="12:12" x14ac:dyDescent="0.35">
      <c r="L344" s="47">
        <v>311</v>
      </c>
    </row>
    <row r="345" spans="12:12" x14ac:dyDescent="0.35">
      <c r="L345" s="47">
        <v>312</v>
      </c>
    </row>
    <row r="346" spans="12:12" x14ac:dyDescent="0.35">
      <c r="L346" s="47">
        <v>313</v>
      </c>
    </row>
    <row r="347" spans="12:12" x14ac:dyDescent="0.35">
      <c r="L347" s="47">
        <v>314</v>
      </c>
    </row>
    <row r="348" spans="12:12" x14ac:dyDescent="0.35">
      <c r="L348" s="47">
        <v>315</v>
      </c>
    </row>
    <row r="349" spans="12:12" x14ac:dyDescent="0.35">
      <c r="L349" s="47">
        <v>316</v>
      </c>
    </row>
    <row r="350" spans="12:12" x14ac:dyDescent="0.35">
      <c r="L350" s="47">
        <v>317</v>
      </c>
    </row>
    <row r="351" spans="12:12" x14ac:dyDescent="0.35">
      <c r="L351" s="47">
        <v>318</v>
      </c>
    </row>
    <row r="352" spans="12:12" x14ac:dyDescent="0.35">
      <c r="L352" s="47">
        <v>319</v>
      </c>
    </row>
    <row r="353" spans="12:12" x14ac:dyDescent="0.35">
      <c r="L353" s="47">
        <v>320</v>
      </c>
    </row>
    <row r="354" spans="12:12" x14ac:dyDescent="0.35">
      <c r="L354" s="47">
        <v>321</v>
      </c>
    </row>
    <row r="355" spans="12:12" x14ac:dyDescent="0.35">
      <c r="L355" s="47">
        <v>322</v>
      </c>
    </row>
    <row r="356" spans="12:12" x14ac:dyDescent="0.35">
      <c r="L356" s="47">
        <v>323</v>
      </c>
    </row>
    <row r="357" spans="12:12" x14ac:dyDescent="0.35">
      <c r="L357" s="47">
        <v>324</v>
      </c>
    </row>
    <row r="358" spans="12:12" x14ac:dyDescent="0.35">
      <c r="L358" s="47">
        <v>325</v>
      </c>
    </row>
    <row r="359" spans="12:12" x14ac:dyDescent="0.35">
      <c r="L359" s="47">
        <v>326</v>
      </c>
    </row>
    <row r="360" spans="12:12" x14ac:dyDescent="0.35">
      <c r="L360" s="47">
        <v>327</v>
      </c>
    </row>
    <row r="361" spans="12:12" x14ac:dyDescent="0.35">
      <c r="L361" s="47">
        <v>328</v>
      </c>
    </row>
    <row r="362" spans="12:12" x14ac:dyDescent="0.35">
      <c r="L362" s="47">
        <v>329</v>
      </c>
    </row>
    <row r="363" spans="12:12" x14ac:dyDescent="0.35">
      <c r="L363" s="47">
        <v>330</v>
      </c>
    </row>
    <row r="364" spans="12:12" x14ac:dyDescent="0.35">
      <c r="L364" s="47">
        <v>331</v>
      </c>
    </row>
    <row r="365" spans="12:12" x14ac:dyDescent="0.35">
      <c r="L365" s="47">
        <v>332</v>
      </c>
    </row>
    <row r="366" spans="12:12" x14ac:dyDescent="0.35">
      <c r="L366" s="47">
        <v>333</v>
      </c>
    </row>
    <row r="367" spans="12:12" x14ac:dyDescent="0.35">
      <c r="L367" s="47">
        <v>334</v>
      </c>
    </row>
    <row r="368" spans="12:12" x14ac:dyDescent="0.35">
      <c r="L368" s="47">
        <v>335</v>
      </c>
    </row>
    <row r="369" spans="12:12" x14ac:dyDescent="0.35">
      <c r="L369" s="47">
        <v>336</v>
      </c>
    </row>
    <row r="370" spans="12:12" x14ac:dyDescent="0.35">
      <c r="L370" s="47">
        <v>337</v>
      </c>
    </row>
    <row r="371" spans="12:12" x14ac:dyDescent="0.35">
      <c r="L371" s="47">
        <v>338</v>
      </c>
    </row>
    <row r="372" spans="12:12" x14ac:dyDescent="0.35">
      <c r="L372" s="47">
        <v>339</v>
      </c>
    </row>
    <row r="373" spans="12:12" x14ac:dyDescent="0.35">
      <c r="L373" s="47">
        <v>340</v>
      </c>
    </row>
    <row r="374" spans="12:12" x14ac:dyDescent="0.35">
      <c r="L374" s="47">
        <v>341</v>
      </c>
    </row>
    <row r="375" spans="12:12" x14ac:dyDescent="0.35">
      <c r="L375" s="47">
        <v>342</v>
      </c>
    </row>
    <row r="376" spans="12:12" x14ac:dyDescent="0.35">
      <c r="L376" s="47">
        <v>343</v>
      </c>
    </row>
    <row r="377" spans="12:12" x14ac:dyDescent="0.35">
      <c r="L377" s="47">
        <v>344</v>
      </c>
    </row>
    <row r="378" spans="12:12" x14ac:dyDescent="0.35">
      <c r="L378" s="47">
        <v>345</v>
      </c>
    </row>
    <row r="379" spans="12:12" x14ac:dyDescent="0.35">
      <c r="L379" s="47">
        <v>346</v>
      </c>
    </row>
    <row r="380" spans="12:12" x14ac:dyDescent="0.35">
      <c r="L380" s="47">
        <v>347</v>
      </c>
    </row>
    <row r="381" spans="12:12" x14ac:dyDescent="0.35">
      <c r="L381" s="47">
        <v>348</v>
      </c>
    </row>
    <row r="382" spans="12:12" x14ac:dyDescent="0.35">
      <c r="L382" s="47">
        <v>349</v>
      </c>
    </row>
    <row r="383" spans="12:12" x14ac:dyDescent="0.35">
      <c r="L383" s="47">
        <v>350</v>
      </c>
    </row>
    <row r="384" spans="12:12" x14ac:dyDescent="0.35">
      <c r="L384" s="47">
        <v>351</v>
      </c>
    </row>
    <row r="385" spans="12:12" x14ac:dyDescent="0.35">
      <c r="L385" s="47">
        <v>352</v>
      </c>
    </row>
    <row r="386" spans="12:12" x14ac:dyDescent="0.35">
      <c r="L386" s="47">
        <v>353</v>
      </c>
    </row>
    <row r="387" spans="12:12" x14ac:dyDescent="0.35">
      <c r="L387" s="47">
        <v>354</v>
      </c>
    </row>
    <row r="388" spans="12:12" x14ac:dyDescent="0.35">
      <c r="L388" s="47">
        <v>355</v>
      </c>
    </row>
    <row r="389" spans="12:12" x14ac:dyDescent="0.35">
      <c r="L389" s="47">
        <v>356</v>
      </c>
    </row>
    <row r="390" spans="12:12" x14ac:dyDescent="0.35">
      <c r="L390" s="47">
        <v>357</v>
      </c>
    </row>
    <row r="391" spans="12:12" x14ac:dyDescent="0.35">
      <c r="L391" s="47">
        <v>358</v>
      </c>
    </row>
    <row r="392" spans="12:12" x14ac:dyDescent="0.35">
      <c r="L392" s="47">
        <v>359</v>
      </c>
    </row>
    <row r="393" spans="12:12" x14ac:dyDescent="0.35">
      <c r="L393" s="47">
        <v>360</v>
      </c>
    </row>
    <row r="394" spans="12:12" x14ac:dyDescent="0.35">
      <c r="L394" s="47">
        <v>361</v>
      </c>
    </row>
    <row r="395" spans="12:12" x14ac:dyDescent="0.35">
      <c r="L395" s="47">
        <v>362</v>
      </c>
    </row>
    <row r="396" spans="12:12" x14ac:dyDescent="0.35">
      <c r="L396" s="47">
        <v>363</v>
      </c>
    </row>
    <row r="397" spans="12:12" x14ac:dyDescent="0.35">
      <c r="L397" s="47">
        <v>364</v>
      </c>
    </row>
    <row r="398" spans="12:12" x14ac:dyDescent="0.35">
      <c r="L398" s="47">
        <v>365</v>
      </c>
    </row>
    <row r="399" spans="12:12" x14ac:dyDescent="0.35">
      <c r="L399" s="47">
        <v>366</v>
      </c>
    </row>
    <row r="400" spans="12:12" x14ac:dyDescent="0.35">
      <c r="L400" s="47">
        <v>367</v>
      </c>
    </row>
    <row r="401" spans="12:12" x14ac:dyDescent="0.35">
      <c r="L401" s="47">
        <v>368</v>
      </c>
    </row>
    <row r="402" spans="12:12" x14ac:dyDescent="0.35">
      <c r="L402" s="47">
        <v>369</v>
      </c>
    </row>
    <row r="403" spans="12:12" x14ac:dyDescent="0.35">
      <c r="L403" s="47">
        <v>370</v>
      </c>
    </row>
    <row r="404" spans="12:12" x14ac:dyDescent="0.35">
      <c r="L404" s="47">
        <v>371</v>
      </c>
    </row>
    <row r="405" spans="12:12" x14ac:dyDescent="0.35">
      <c r="L405" s="47">
        <v>372</v>
      </c>
    </row>
    <row r="406" spans="12:12" x14ac:dyDescent="0.35">
      <c r="L406" s="47">
        <v>373</v>
      </c>
    </row>
    <row r="407" spans="12:12" x14ac:dyDescent="0.35">
      <c r="L407" s="47">
        <v>374</v>
      </c>
    </row>
    <row r="408" spans="12:12" x14ac:dyDescent="0.35">
      <c r="L408" s="47">
        <v>375</v>
      </c>
    </row>
    <row r="409" spans="12:12" x14ac:dyDescent="0.35">
      <c r="L409" s="47">
        <v>376</v>
      </c>
    </row>
    <row r="410" spans="12:12" x14ac:dyDescent="0.35">
      <c r="L410" s="47">
        <v>377</v>
      </c>
    </row>
    <row r="411" spans="12:12" x14ac:dyDescent="0.35">
      <c r="L411" s="47">
        <v>378</v>
      </c>
    </row>
    <row r="412" spans="12:12" x14ac:dyDescent="0.35">
      <c r="L412" s="47">
        <v>379</v>
      </c>
    </row>
    <row r="413" spans="12:12" x14ac:dyDescent="0.35">
      <c r="L413" s="47">
        <v>380</v>
      </c>
    </row>
    <row r="414" spans="12:12" x14ac:dyDescent="0.35">
      <c r="L414" s="47">
        <v>381</v>
      </c>
    </row>
    <row r="415" spans="12:12" x14ac:dyDescent="0.35">
      <c r="L415" s="47">
        <v>382</v>
      </c>
    </row>
    <row r="416" spans="12:12" x14ac:dyDescent="0.35">
      <c r="L416" s="47">
        <v>383</v>
      </c>
    </row>
    <row r="417" spans="12:12" x14ac:dyDescent="0.35">
      <c r="L417" s="47">
        <v>384</v>
      </c>
    </row>
    <row r="418" spans="12:12" x14ac:dyDescent="0.35">
      <c r="L418" s="47">
        <v>385</v>
      </c>
    </row>
    <row r="419" spans="12:12" x14ac:dyDescent="0.35">
      <c r="L419" s="47">
        <v>386</v>
      </c>
    </row>
    <row r="420" spans="12:12" x14ac:dyDescent="0.35">
      <c r="L420" s="47">
        <v>387</v>
      </c>
    </row>
    <row r="421" spans="12:12" x14ac:dyDescent="0.35">
      <c r="L421" s="47">
        <v>388</v>
      </c>
    </row>
    <row r="422" spans="12:12" x14ac:dyDescent="0.35">
      <c r="L422" s="47">
        <v>389</v>
      </c>
    </row>
    <row r="423" spans="12:12" x14ac:dyDescent="0.35">
      <c r="L423" s="47">
        <v>390</v>
      </c>
    </row>
    <row r="424" spans="12:12" x14ac:dyDescent="0.35">
      <c r="L424" s="47">
        <v>391</v>
      </c>
    </row>
    <row r="425" spans="12:12" x14ac:dyDescent="0.35">
      <c r="L425" s="47">
        <v>392</v>
      </c>
    </row>
    <row r="426" spans="12:12" x14ac:dyDescent="0.35">
      <c r="L426" s="47">
        <v>393</v>
      </c>
    </row>
    <row r="427" spans="12:12" x14ac:dyDescent="0.35">
      <c r="L427" s="47">
        <v>394</v>
      </c>
    </row>
    <row r="428" spans="12:12" x14ac:dyDescent="0.35">
      <c r="L428" s="47">
        <v>395</v>
      </c>
    </row>
    <row r="429" spans="12:12" x14ac:dyDescent="0.35">
      <c r="L429" s="47">
        <v>396</v>
      </c>
    </row>
    <row r="430" spans="12:12" x14ac:dyDescent="0.35">
      <c r="L430" s="47">
        <v>397</v>
      </c>
    </row>
    <row r="431" spans="12:12" x14ac:dyDescent="0.35">
      <c r="L431" s="47">
        <v>398</v>
      </c>
    </row>
    <row r="432" spans="12:12" x14ac:dyDescent="0.35">
      <c r="L432" s="47">
        <v>399</v>
      </c>
    </row>
    <row r="433" spans="12:12" x14ac:dyDescent="0.35">
      <c r="L433" s="47">
        <v>400</v>
      </c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1888</v>
      </c>
      <c r="E10" t="s">
        <v>1889</v>
      </c>
      <c r="F10" t="s">
        <v>1890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1891</v>
      </c>
      <c r="D14">
        <f>(((D11-E11)/100)*F11+E11)</f>
        <v>8593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69">
        <f>PORTADA!D46</f>
        <v>26000</v>
      </c>
      <c r="C2" s="269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2" t="e">
        <f>C12</f>
        <v>#REF!</v>
      </c>
      <c r="E11" s="82" t="e">
        <f>C13</f>
        <v>#REF!</v>
      </c>
      <c r="F11" s="82" t="e">
        <f>C14</f>
        <v>#REF!</v>
      </c>
      <c r="G11" s="82" t="e">
        <f>C15</f>
        <v>#REF!</v>
      </c>
      <c r="H11" s="82" t="e">
        <f>C16</f>
        <v>#REF!</v>
      </c>
      <c r="I11" s="82" t="e">
        <f>C17</f>
        <v>#REF!</v>
      </c>
      <c r="J11" s="82" t="e">
        <f>C18</f>
        <v>#REF!</v>
      </c>
      <c r="K11" s="82" t="e">
        <f>C19</f>
        <v>#REF!</v>
      </c>
      <c r="L11" s="82" t="e">
        <f>C20</f>
        <v>#REF!</v>
      </c>
      <c r="M11" s="82" t="e">
        <f>C21</f>
        <v>#REF!</v>
      </c>
      <c r="N11" s="82" t="e">
        <f>C22</f>
        <v>#REF!</v>
      </c>
      <c r="O11" s="82" t="e">
        <f>C23</f>
        <v>#REF!</v>
      </c>
      <c r="P11" s="82" t="e">
        <f>C24</f>
        <v>#REF!</v>
      </c>
      <c r="Q11" s="82" t="e">
        <f>C25</f>
        <v>#REF!</v>
      </c>
      <c r="R11" s="82" t="e">
        <f>C26</f>
        <v>#REF!</v>
      </c>
      <c r="S11" s="82" t="e">
        <f>C27</f>
        <v>#REF!</v>
      </c>
      <c r="T11" s="82" t="e">
        <f>C28</f>
        <v>#REF!</v>
      </c>
      <c r="U11" s="82" t="e">
        <f>C29</f>
        <v>#REF!</v>
      </c>
      <c r="V11" s="82" t="e">
        <f>C30</f>
        <v>#REF!</v>
      </c>
      <c r="W11" s="82" t="e">
        <f>C31</f>
        <v>#REF!</v>
      </c>
      <c r="X11" s="82" t="e">
        <f>C32</f>
        <v>#REF!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3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3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3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3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3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3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3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3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3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3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3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3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3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3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3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3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3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3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3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3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3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3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3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3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3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3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3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3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3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3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3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3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3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3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3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3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3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3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3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3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3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3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3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0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0" customWidth="1"/>
    <col min="4" max="4" width="58.85546875" style="74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70">
        <v>23147</v>
      </c>
      <c r="C2" s="270"/>
      <c r="D2" s="72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69"/>
      <c r="D3" s="7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69"/>
      <c r="D4" s="7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1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68"/>
      <c r="D6" s="72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1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16">
        <v>1</v>
      </c>
      <c r="D12" s="40" t="s">
        <v>243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17">
        <v>2</v>
      </c>
      <c r="D13" s="40" t="s">
        <v>876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17">
        <v>3</v>
      </c>
      <c r="D14" s="40" t="s">
        <v>877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16">
        <v>4</v>
      </c>
      <c r="D15" s="40" t="s">
        <v>878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17">
        <v>5</v>
      </c>
      <c r="D16" s="40" t="s">
        <v>879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17">
        <v>6</v>
      </c>
      <c r="D17" s="40" t="s">
        <v>880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16">
        <v>7</v>
      </c>
      <c r="D18" s="40" t="s">
        <v>881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17">
        <v>8</v>
      </c>
      <c r="D19" s="40" t="s">
        <v>882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17">
        <v>9</v>
      </c>
      <c r="D20" s="40" t="s">
        <v>883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16">
        <v>10</v>
      </c>
      <c r="D21" s="40" t="s">
        <v>884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17">
        <v>11</v>
      </c>
      <c r="D22" s="40" t="s">
        <v>885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17">
        <v>12</v>
      </c>
      <c r="D23" s="40" t="s">
        <v>886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16">
        <v>13</v>
      </c>
      <c r="D24" s="40" t="s">
        <v>887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17">
        <v>14</v>
      </c>
      <c r="D25" s="40" t="s">
        <v>888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17">
        <v>15</v>
      </c>
      <c r="D26" s="40" t="s">
        <v>889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16">
        <v>16</v>
      </c>
      <c r="D27" s="40" t="s">
        <v>890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17">
        <v>17</v>
      </c>
      <c r="D28" s="40" t="s">
        <v>891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17">
        <v>18</v>
      </c>
      <c r="D29" s="40" t="s">
        <v>892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16">
        <v>19</v>
      </c>
      <c r="D30" s="40" t="s">
        <v>893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17">
        <v>20</v>
      </c>
      <c r="D31" s="40" t="s">
        <v>894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17">
        <v>21</v>
      </c>
      <c r="D32" s="40" t="s">
        <v>895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16">
        <v>22</v>
      </c>
      <c r="D33" s="40" t="s">
        <v>896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17">
        <v>23</v>
      </c>
      <c r="D34" s="40" t="s">
        <v>897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17">
        <v>24</v>
      </c>
      <c r="D35" s="40" t="s">
        <v>898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16">
        <v>25</v>
      </c>
      <c r="D36" s="40" t="s">
        <v>899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17">
        <v>26</v>
      </c>
      <c r="D37" s="40" t="s">
        <v>900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17">
        <v>27</v>
      </c>
      <c r="D38" s="40" t="s">
        <v>901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16">
        <v>28</v>
      </c>
      <c r="D39" s="40" t="s">
        <v>909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17">
        <v>29</v>
      </c>
      <c r="D40" s="40" t="s">
        <v>910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17">
        <v>30</v>
      </c>
      <c r="D41" s="40" t="s">
        <v>902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16">
        <v>31</v>
      </c>
      <c r="D42" s="40" t="s">
        <v>903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17">
        <v>32</v>
      </c>
      <c r="D43" s="40" t="s">
        <v>904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17">
        <v>33</v>
      </c>
      <c r="D44" s="40" t="s">
        <v>905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16">
        <v>34</v>
      </c>
      <c r="D45" s="40" t="s">
        <v>906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17">
        <v>35</v>
      </c>
      <c r="D46" s="40" t="s">
        <v>907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17">
        <v>36</v>
      </c>
      <c r="D47" s="40" t="s">
        <v>908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16">
        <v>37</v>
      </c>
      <c r="D48" s="40" t="s">
        <v>911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17">
        <v>38</v>
      </c>
      <c r="D49" s="40" t="s">
        <v>912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17">
        <v>39</v>
      </c>
      <c r="D50" s="40" t="s">
        <v>913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16">
        <v>40</v>
      </c>
      <c r="D51" s="40" t="s">
        <v>914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17">
        <v>41</v>
      </c>
      <c r="D52" s="40" t="s">
        <v>915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17">
        <v>42</v>
      </c>
      <c r="D53" s="40" t="s">
        <v>916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16">
        <v>43</v>
      </c>
      <c r="D54" s="40" t="s">
        <v>917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17">
        <v>44</v>
      </c>
      <c r="D55" s="40" t="s">
        <v>920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17">
        <v>45</v>
      </c>
      <c r="D56" s="40" t="s">
        <v>918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16">
        <v>46</v>
      </c>
      <c r="D57" s="40" t="s">
        <v>919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17">
        <v>47</v>
      </c>
      <c r="D58" s="40" t="s">
        <v>921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17">
        <v>48</v>
      </c>
      <c r="D59" s="40" t="s">
        <v>922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16">
        <v>49</v>
      </c>
      <c r="D60" s="40" t="s">
        <v>923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17">
        <v>50</v>
      </c>
      <c r="D61" s="40" t="s">
        <v>924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17">
        <v>51</v>
      </c>
      <c r="D62" s="40" t="s">
        <v>925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16">
        <v>52</v>
      </c>
      <c r="D63" s="40" t="s">
        <v>926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17">
        <v>53</v>
      </c>
      <c r="D64" s="40" t="s">
        <v>927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17">
        <v>54</v>
      </c>
      <c r="D65" s="199" t="s">
        <v>928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16">
        <v>55</v>
      </c>
      <c r="D66" s="199" t="s">
        <v>928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17">
        <v>56</v>
      </c>
      <c r="D67" s="199" t="s">
        <v>928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17">
        <v>57</v>
      </c>
      <c r="D68" s="199" t="s">
        <v>928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16">
        <v>58</v>
      </c>
      <c r="D69" s="199" t="s">
        <v>928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17">
        <v>59</v>
      </c>
      <c r="D70" s="199" t="s">
        <v>928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17">
        <v>60</v>
      </c>
      <c r="D71" s="40" t="s">
        <v>930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16">
        <v>61</v>
      </c>
      <c r="D72" s="40" t="s">
        <v>931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17">
        <v>62</v>
      </c>
      <c r="D73" s="40" t="s">
        <v>929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17">
        <v>63</v>
      </c>
      <c r="D74" s="199" t="s">
        <v>928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16">
        <v>64</v>
      </c>
      <c r="D75" s="40" t="s">
        <v>932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17">
        <v>65</v>
      </c>
      <c r="D76" s="40" t="s">
        <v>933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17">
        <v>66</v>
      </c>
      <c r="D77" s="40" t="s">
        <v>934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16">
        <v>67</v>
      </c>
      <c r="D78" s="40" t="s">
        <v>935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17">
        <v>68</v>
      </c>
      <c r="D79" s="40" t="s">
        <v>936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17">
        <v>69</v>
      </c>
      <c r="D80" s="40" t="s">
        <v>937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16">
        <v>70</v>
      </c>
      <c r="D81" s="40" t="s">
        <v>938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17">
        <v>71</v>
      </c>
      <c r="D82" s="40" t="s">
        <v>939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17">
        <v>72</v>
      </c>
      <c r="D83" s="40" t="s">
        <v>940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16">
        <v>73</v>
      </c>
      <c r="D84" s="40" t="s">
        <v>941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17">
        <v>74</v>
      </c>
      <c r="D85" s="40" t="s">
        <v>942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17">
        <v>75</v>
      </c>
      <c r="D86" s="40" t="s">
        <v>943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16">
        <v>76</v>
      </c>
      <c r="D87" s="40" t="s">
        <v>944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17">
        <v>77</v>
      </c>
      <c r="D88" s="40" t="s">
        <v>945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17">
        <v>78</v>
      </c>
      <c r="D89" s="40" t="s">
        <v>946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16">
        <v>79</v>
      </c>
      <c r="D90" s="40" t="s">
        <v>947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17">
        <v>80</v>
      </c>
      <c r="D91" s="40" t="s">
        <v>948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17">
        <v>81</v>
      </c>
      <c r="D92" s="40" t="s">
        <v>949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16">
        <v>82</v>
      </c>
      <c r="D93" s="40" t="s">
        <v>950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17">
        <v>83</v>
      </c>
      <c r="D94" s="40" t="s">
        <v>951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17">
        <v>84</v>
      </c>
      <c r="D95" s="40" t="s">
        <v>952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16">
        <v>85</v>
      </c>
      <c r="D96" s="40" t="s">
        <v>953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17">
        <v>86</v>
      </c>
      <c r="D97" s="40" t="s">
        <v>954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17">
        <v>87</v>
      </c>
      <c r="D98" s="40" t="s">
        <v>955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16">
        <v>88</v>
      </c>
      <c r="D99" s="40" t="s">
        <v>956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17">
        <v>89</v>
      </c>
      <c r="D100" s="40" t="s">
        <v>957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17">
        <v>90</v>
      </c>
      <c r="D101" s="40" t="s">
        <v>958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16">
        <v>91</v>
      </c>
      <c r="D102" s="40" t="s">
        <v>959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17">
        <v>92</v>
      </c>
      <c r="D103" s="40" t="s">
        <v>960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17">
        <v>93</v>
      </c>
      <c r="D104" s="40" t="s">
        <v>961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16">
        <v>94</v>
      </c>
      <c r="D105" s="40" t="s">
        <v>962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17">
        <v>95</v>
      </c>
      <c r="D106" s="40" t="s">
        <v>963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17">
        <v>96</v>
      </c>
      <c r="D107" s="40" t="s">
        <v>963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16">
        <v>97</v>
      </c>
      <c r="D108" s="40" t="s">
        <v>967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17">
        <v>98</v>
      </c>
      <c r="D109" s="40" t="s">
        <v>967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17">
        <v>99</v>
      </c>
      <c r="D110" s="40" t="s">
        <v>966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16">
        <v>100</v>
      </c>
      <c r="D111" s="40" t="s">
        <v>966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17">
        <v>101</v>
      </c>
      <c r="D112" s="40" t="s">
        <v>965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17">
        <v>102</v>
      </c>
      <c r="D113" s="40" t="s">
        <v>965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16">
        <v>103</v>
      </c>
      <c r="D114" s="40" t="s">
        <v>964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17">
        <v>104</v>
      </c>
      <c r="D115" s="40" t="s">
        <v>964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17">
        <v>105</v>
      </c>
      <c r="D116" s="40" t="s">
        <v>968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16">
        <v>106</v>
      </c>
      <c r="D117" s="40" t="s">
        <v>971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17">
        <v>107</v>
      </c>
      <c r="D118" s="40" t="s">
        <v>970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17">
        <v>108</v>
      </c>
      <c r="D119" s="40" t="s">
        <v>972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16">
        <v>109</v>
      </c>
      <c r="D120" s="40" t="s">
        <v>969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17">
        <v>110</v>
      </c>
      <c r="D121" s="40" t="s">
        <v>973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17">
        <v>111</v>
      </c>
      <c r="D122" s="40" t="s">
        <v>975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16">
        <v>112</v>
      </c>
      <c r="D123" s="40" t="s">
        <v>976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17">
        <v>113</v>
      </c>
      <c r="D124" s="40" t="s">
        <v>977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17">
        <v>114</v>
      </c>
      <c r="D125" s="40" t="s">
        <v>974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16">
        <v>115</v>
      </c>
      <c r="D126" s="40" t="s">
        <v>978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17">
        <v>116</v>
      </c>
      <c r="D127" s="40" t="s">
        <v>979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17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16">
        <v>118</v>
      </c>
      <c r="D129" s="40" t="s">
        <v>980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17">
        <v>119</v>
      </c>
      <c r="D130" s="40" t="s">
        <v>981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17">
        <v>120</v>
      </c>
      <c r="D131" s="40" t="s">
        <v>982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16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17">
        <v>122</v>
      </c>
      <c r="D133" s="40" t="s">
        <v>983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17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16">
        <v>124</v>
      </c>
      <c r="D135" s="40" t="s">
        <v>984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17">
        <v>125</v>
      </c>
      <c r="D136" s="40" t="s">
        <v>985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17">
        <v>126</v>
      </c>
      <c r="D137" s="40" t="s">
        <v>986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16">
        <v>127</v>
      </c>
      <c r="D138" s="40" t="s">
        <v>987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17">
        <v>128</v>
      </c>
      <c r="D139" s="40" t="s">
        <v>988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17">
        <v>129</v>
      </c>
      <c r="D140" s="40" t="s">
        <v>989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16">
        <v>130</v>
      </c>
      <c r="D141" s="40" t="s">
        <v>990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17">
        <v>131</v>
      </c>
      <c r="D142" s="40" t="s">
        <v>991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17">
        <v>132</v>
      </c>
      <c r="D143" s="40" t="s">
        <v>992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16">
        <v>133</v>
      </c>
      <c r="D144" s="40" t="s">
        <v>993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17">
        <v>134</v>
      </c>
      <c r="D145" s="40" t="s">
        <v>994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17">
        <v>135</v>
      </c>
      <c r="D146" s="40" t="s">
        <v>995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16">
        <v>136</v>
      </c>
      <c r="D147" s="40" t="s">
        <v>996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17">
        <v>137</v>
      </c>
      <c r="D148" s="40" t="s">
        <v>997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17">
        <v>138</v>
      </c>
      <c r="D149" s="40" t="s">
        <v>998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16">
        <v>139</v>
      </c>
      <c r="D150" s="40" t="s">
        <v>1000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17">
        <v>140</v>
      </c>
      <c r="D151" s="40" t="s">
        <v>999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17">
        <v>141</v>
      </c>
      <c r="D152" s="40" t="s">
        <v>1001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16">
        <v>142</v>
      </c>
      <c r="D153" s="40" t="s">
        <v>1002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17">
        <v>143</v>
      </c>
      <c r="D154" s="40" t="s">
        <v>1003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17">
        <v>144</v>
      </c>
      <c r="D155" s="40" t="s">
        <v>1004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16">
        <v>145</v>
      </c>
      <c r="D156" s="40" t="s">
        <v>1005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17">
        <v>146</v>
      </c>
      <c r="D157" s="40" t="s">
        <v>1006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17">
        <v>147</v>
      </c>
      <c r="D158" s="40" t="s">
        <v>244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16">
        <v>148</v>
      </c>
      <c r="D159" s="40" t="s">
        <v>1007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17">
        <v>149</v>
      </c>
      <c r="D160" s="40" t="s">
        <v>283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17">
        <v>150</v>
      </c>
      <c r="D161" s="40" t="s">
        <v>1008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16">
        <v>151</v>
      </c>
      <c r="D162" s="40" t="s">
        <v>284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17">
        <v>152</v>
      </c>
      <c r="D163" s="40" t="s">
        <v>1009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17">
        <v>153</v>
      </c>
      <c r="D164" s="40" t="s">
        <v>1010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16">
        <v>154</v>
      </c>
      <c r="D165" s="40" t="s">
        <v>1011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17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17">
        <v>156</v>
      </c>
      <c r="D167" s="40" t="s">
        <v>1012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16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17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17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16">
        <v>160</v>
      </c>
      <c r="D171" s="40" t="s">
        <v>1023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17">
        <v>161</v>
      </c>
      <c r="D172" s="40" t="s">
        <v>1024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17">
        <v>162</v>
      </c>
      <c r="D173" s="40" t="s">
        <v>1025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16">
        <v>163</v>
      </c>
      <c r="D174" s="40" t="s">
        <v>1026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17">
        <v>164</v>
      </c>
      <c r="D175" s="40" t="s">
        <v>1027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17">
        <v>165</v>
      </c>
      <c r="D176" s="40" t="s">
        <v>1028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16">
        <v>166</v>
      </c>
      <c r="D177" s="40" t="s">
        <v>1029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17">
        <v>167</v>
      </c>
      <c r="D178" s="40" t="s">
        <v>1065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17">
        <v>168</v>
      </c>
      <c r="D179" s="40" t="s">
        <v>1065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16">
        <v>169</v>
      </c>
      <c r="D180" s="40" t="s">
        <v>1066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17">
        <v>170</v>
      </c>
      <c r="D181" s="40" t="s">
        <v>1067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17">
        <v>171</v>
      </c>
      <c r="D182" s="40" t="s">
        <v>1068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16">
        <v>172</v>
      </c>
      <c r="D183" s="40" t="s">
        <v>1069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17">
        <v>173</v>
      </c>
      <c r="D184" s="40" t="s">
        <v>1070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17">
        <v>174</v>
      </c>
      <c r="D185" s="40" t="s">
        <v>1071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16">
        <v>175</v>
      </c>
      <c r="D186" s="40" t="s">
        <v>1072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17">
        <v>176</v>
      </c>
      <c r="D187" s="40" t="s">
        <v>1073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17">
        <v>177</v>
      </c>
      <c r="D188" s="40" t="s">
        <v>1074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16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17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17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16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17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17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16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17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17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16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17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17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16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17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17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16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17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17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16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17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17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16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17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0" customWidth="1"/>
    <col min="4" max="4" width="9" style="70" customWidth="1"/>
    <col min="5" max="5" width="69.85546875" style="74" bestFit="1" customWidth="1"/>
    <col min="6" max="6" width="85.140625" style="74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94" customWidth="1"/>
    <col min="64" max="70" width="19.85546875" style="94" customWidth="1"/>
  </cols>
  <sheetData>
    <row r="1" spans="1:70" ht="16.5" customHeight="1" x14ac:dyDescent="0.25">
      <c r="A1" s="1"/>
      <c r="B1" s="1"/>
      <c r="C1" s="5"/>
      <c r="D1" s="5"/>
      <c r="E1" s="71"/>
      <c r="F1" s="7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68"/>
      <c r="E2" s="72"/>
      <c r="F2" s="7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92"/>
      <c r="BM2" s="92"/>
      <c r="BN2" s="92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69"/>
      <c r="D3" s="69"/>
      <c r="E3" s="73"/>
      <c r="F3" s="7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69"/>
      <c r="D4" s="69"/>
      <c r="E4" s="73"/>
      <c r="F4" s="7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1"/>
      <c r="F5" s="7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206</v>
      </c>
      <c r="C6" s="68"/>
      <c r="D6" s="68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92"/>
      <c r="BM6" s="92"/>
      <c r="BN6" s="92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1"/>
      <c r="F7" s="7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93"/>
      <c r="BN7" s="93"/>
      <c r="BO7" s="5"/>
      <c r="BP7" s="5"/>
      <c r="BQ7" s="5"/>
      <c r="BR7" s="5"/>
    </row>
    <row r="8" spans="1:70" ht="3.75" customHeight="1" x14ac:dyDescent="0.25"/>
    <row r="9" spans="1:70" x14ac:dyDescent="0.25">
      <c r="E9" s="108" t="s">
        <v>455</v>
      </c>
    </row>
    <row r="10" spans="1:70" x14ac:dyDescent="0.25">
      <c r="E10" s="157" t="s">
        <v>456</v>
      </c>
    </row>
    <row r="11" spans="1:70" x14ac:dyDescent="0.25">
      <c r="E11" s="167" t="s">
        <v>457</v>
      </c>
      <c r="BK11" s="271" t="s">
        <v>306</v>
      </c>
      <c r="BL11" s="272"/>
      <c r="BM11" s="272"/>
      <c r="BN11" s="272"/>
      <c r="BO11" s="272"/>
      <c r="BP11" s="272"/>
      <c r="BQ11" s="272"/>
      <c r="BR11" s="272"/>
    </row>
    <row r="12" spans="1:70" ht="3.75" customHeight="1" x14ac:dyDescent="0.25">
      <c r="BK12" s="273"/>
      <c r="BL12" s="274"/>
      <c r="BM12" s="274"/>
      <c r="BN12" s="274"/>
      <c r="BO12" s="274"/>
      <c r="BP12" s="274"/>
      <c r="BQ12" s="274"/>
      <c r="BR12" s="274"/>
    </row>
    <row r="13" spans="1:70" s="94" customFormat="1" ht="19.5" customHeight="1" x14ac:dyDescent="0.25">
      <c r="C13" s="8" t="s">
        <v>417</v>
      </c>
      <c r="D13" s="44" t="s">
        <v>418</v>
      </c>
      <c r="E13" s="44" t="s">
        <v>419</v>
      </c>
      <c r="F13" s="91" t="s">
        <v>444</v>
      </c>
      <c r="G13" s="275" t="s">
        <v>452</v>
      </c>
      <c r="H13" s="275"/>
      <c r="I13" s="275"/>
      <c r="J13" s="275"/>
      <c r="K13" s="275"/>
      <c r="L13" s="275"/>
      <c r="M13" s="275"/>
      <c r="N13" s="275"/>
      <c r="O13" s="275"/>
      <c r="P13" s="275"/>
      <c r="Q13" s="275" t="s">
        <v>451</v>
      </c>
      <c r="R13" s="275"/>
      <c r="S13" s="275"/>
      <c r="T13" s="275" t="s">
        <v>661</v>
      </c>
      <c r="U13" s="275"/>
      <c r="V13" s="275"/>
      <c r="W13" s="275" t="s">
        <v>431</v>
      </c>
      <c r="X13" s="275"/>
      <c r="Y13" s="275"/>
      <c r="Z13" s="275"/>
      <c r="AA13" s="275"/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 t="s">
        <v>421</v>
      </c>
      <c r="AQ13" s="275"/>
      <c r="AR13" s="275"/>
      <c r="AS13" s="275"/>
      <c r="AT13" s="275"/>
      <c r="AU13" s="275"/>
      <c r="AV13" s="275"/>
      <c r="AW13" s="275"/>
      <c r="AX13" s="275"/>
      <c r="AY13" s="275"/>
      <c r="AZ13" s="274" t="s">
        <v>660</v>
      </c>
      <c r="BA13" s="274"/>
      <c r="BB13" s="274"/>
      <c r="BC13" s="274"/>
      <c r="BD13" s="274"/>
      <c r="BE13" s="274"/>
      <c r="BF13" s="274"/>
      <c r="BG13" s="274"/>
      <c r="BH13" s="274"/>
      <c r="BI13" s="274"/>
      <c r="BJ13" s="274"/>
      <c r="BK13" s="91" t="s">
        <v>437</v>
      </c>
      <c r="BL13" s="90" t="s">
        <v>412</v>
      </c>
      <c r="BM13" s="91" t="s">
        <v>413</v>
      </c>
      <c r="BN13" s="91" t="s">
        <v>414</v>
      </c>
      <c r="BO13" s="91" t="s">
        <v>415</v>
      </c>
      <c r="BP13" s="91" t="s">
        <v>632</v>
      </c>
      <c r="BQ13" s="91" t="s">
        <v>416</v>
      </c>
      <c r="BR13" s="91" t="s">
        <v>631</v>
      </c>
    </row>
    <row r="14" spans="1:70" x14ac:dyDescent="0.25">
      <c r="C14" s="44" t="s">
        <v>376</v>
      </c>
      <c r="D14" s="44">
        <v>1</v>
      </c>
      <c r="E14" s="158" t="s">
        <v>207</v>
      </c>
      <c r="F14" s="159" t="s">
        <v>345</v>
      </c>
      <c r="G14" s="160" t="s">
        <v>103</v>
      </c>
      <c r="H14" s="161" t="s">
        <v>80</v>
      </c>
      <c r="I14" s="162"/>
      <c r="J14" s="162"/>
      <c r="K14" s="162"/>
      <c r="L14" s="162"/>
      <c r="M14" s="162"/>
      <c r="N14" s="162"/>
      <c r="O14" s="162"/>
      <c r="P14" s="163"/>
      <c r="Q14" s="160" t="s">
        <v>71</v>
      </c>
      <c r="R14" s="161"/>
      <c r="S14" s="164"/>
      <c r="T14" s="160" t="s">
        <v>420</v>
      </c>
      <c r="U14" s="161" t="s">
        <v>259</v>
      </c>
      <c r="V14" s="164" t="s">
        <v>432</v>
      </c>
      <c r="W14" s="165">
        <v>19</v>
      </c>
      <c r="X14" s="162">
        <v>18</v>
      </c>
      <c r="Y14" s="162">
        <v>43</v>
      </c>
      <c r="Z14" s="162">
        <v>45</v>
      </c>
      <c r="AA14" s="162">
        <v>46</v>
      </c>
      <c r="AB14" s="162">
        <v>47</v>
      </c>
      <c r="AC14" s="162">
        <v>48</v>
      </c>
      <c r="AD14" s="162">
        <v>49</v>
      </c>
      <c r="AE14" s="162">
        <v>50</v>
      </c>
      <c r="AF14" s="162">
        <v>51</v>
      </c>
      <c r="AG14" s="162">
        <v>52</v>
      </c>
      <c r="AH14" s="162"/>
      <c r="AI14" s="162"/>
      <c r="AJ14" s="162"/>
      <c r="AK14" s="162"/>
      <c r="AL14" s="162"/>
      <c r="AM14" s="162"/>
      <c r="AN14" s="162"/>
      <c r="AO14" s="163"/>
      <c r="AP14" s="165" t="s">
        <v>49</v>
      </c>
      <c r="AQ14" s="162" t="s">
        <v>87</v>
      </c>
      <c r="AR14" s="162" t="s">
        <v>90</v>
      </c>
      <c r="AS14" s="162" t="s">
        <v>89</v>
      </c>
      <c r="AT14" s="162"/>
      <c r="AU14" s="162"/>
      <c r="AV14" s="162"/>
      <c r="AW14" s="162"/>
      <c r="AX14" s="162"/>
      <c r="AY14" s="163"/>
      <c r="AZ14" s="160" t="s">
        <v>422</v>
      </c>
      <c r="BA14" s="161" t="s">
        <v>423</v>
      </c>
      <c r="BB14" s="161" t="s">
        <v>424</v>
      </c>
      <c r="BC14" s="161" t="s">
        <v>425</v>
      </c>
      <c r="BD14" s="161" t="s">
        <v>85</v>
      </c>
      <c r="BE14" s="161" t="s">
        <v>86</v>
      </c>
      <c r="BF14" s="161" t="s">
        <v>88</v>
      </c>
      <c r="BG14" s="161" t="s">
        <v>458</v>
      </c>
      <c r="BH14" s="161"/>
      <c r="BI14" s="198"/>
      <c r="BJ14" s="164" t="s">
        <v>645</v>
      </c>
      <c r="BK14" s="85" t="s">
        <v>286</v>
      </c>
      <c r="BL14" s="85" t="s">
        <v>286</v>
      </c>
      <c r="BM14" s="85" t="s">
        <v>286</v>
      </c>
      <c r="BN14" s="85" t="s">
        <v>286</v>
      </c>
      <c r="BO14" s="11"/>
      <c r="BP14" s="11"/>
      <c r="BQ14" s="11"/>
      <c r="BR14" s="85" t="s">
        <v>286</v>
      </c>
    </row>
    <row r="15" spans="1:70" x14ac:dyDescent="0.25">
      <c r="C15" s="44" t="s">
        <v>377</v>
      </c>
      <c r="D15" s="44">
        <v>1</v>
      </c>
      <c r="E15" s="158" t="s">
        <v>208</v>
      </c>
      <c r="F15" s="159" t="s">
        <v>346</v>
      </c>
      <c r="G15" s="160" t="s">
        <v>103</v>
      </c>
      <c r="H15" s="161" t="s">
        <v>79</v>
      </c>
      <c r="I15" s="162" t="s">
        <v>82</v>
      </c>
      <c r="J15" s="162" t="s">
        <v>453</v>
      </c>
      <c r="K15" s="162"/>
      <c r="L15" s="162"/>
      <c r="M15" s="162"/>
      <c r="N15" s="162"/>
      <c r="O15" s="162" t="s">
        <v>454</v>
      </c>
      <c r="P15" s="163"/>
      <c r="Q15" s="160" t="s">
        <v>71</v>
      </c>
      <c r="R15" s="161"/>
      <c r="S15" s="164"/>
      <c r="T15" s="160" t="s">
        <v>420</v>
      </c>
      <c r="U15" s="161" t="s">
        <v>1075</v>
      </c>
      <c r="V15" s="164" t="s">
        <v>1076</v>
      </c>
      <c r="W15" s="165">
        <v>19</v>
      </c>
      <c r="X15" s="162">
        <v>18</v>
      </c>
      <c r="Y15" s="162">
        <v>53</v>
      </c>
      <c r="Z15" s="162">
        <v>41</v>
      </c>
      <c r="AA15" s="162">
        <v>24</v>
      </c>
      <c r="AB15" s="162">
        <v>25</v>
      </c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3"/>
      <c r="AP15" s="165" t="s">
        <v>49</v>
      </c>
      <c r="AQ15" s="162" t="s">
        <v>52</v>
      </c>
      <c r="AR15" s="161" t="s">
        <v>1042</v>
      </c>
      <c r="AS15" s="162"/>
      <c r="AT15" s="162"/>
      <c r="AU15" s="162"/>
      <c r="AV15" s="162"/>
      <c r="AW15" s="162"/>
      <c r="AX15" s="162"/>
      <c r="AY15" s="163"/>
      <c r="AZ15" s="160" t="s">
        <v>422</v>
      </c>
      <c r="BA15" s="161" t="s">
        <v>423</v>
      </c>
      <c r="BB15" s="161" t="s">
        <v>424</v>
      </c>
      <c r="BC15" s="161" t="s">
        <v>425</v>
      </c>
      <c r="BD15" s="161" t="s">
        <v>426</v>
      </c>
      <c r="BE15" s="161" t="s">
        <v>427</v>
      </c>
      <c r="BF15" s="161" t="s">
        <v>428</v>
      </c>
      <c r="BG15" s="161" t="s">
        <v>429</v>
      </c>
      <c r="BH15" s="162" t="s">
        <v>53</v>
      </c>
      <c r="BI15" s="166"/>
      <c r="BJ15" s="164"/>
      <c r="BK15" s="85" t="s">
        <v>286</v>
      </c>
      <c r="BL15" s="85" t="s">
        <v>286</v>
      </c>
      <c r="BM15" s="85" t="s">
        <v>286</v>
      </c>
      <c r="BN15" s="85" t="s">
        <v>286</v>
      </c>
      <c r="BO15" s="11"/>
      <c r="BP15" s="11"/>
      <c r="BQ15" s="11"/>
      <c r="BR15" s="85" t="s">
        <v>286</v>
      </c>
    </row>
    <row r="16" spans="1:70" x14ac:dyDescent="0.25">
      <c r="C16" s="44" t="s">
        <v>378</v>
      </c>
      <c r="D16" s="44">
        <v>1</v>
      </c>
      <c r="E16" s="40" t="s">
        <v>633</v>
      </c>
      <c r="F16" s="75" t="s">
        <v>839</v>
      </c>
      <c r="G16" s="95"/>
      <c r="H16" s="96"/>
      <c r="I16" s="96"/>
      <c r="J16" s="96"/>
      <c r="K16" s="96"/>
      <c r="L16" s="96"/>
      <c r="M16" s="96"/>
      <c r="N16" s="96"/>
      <c r="O16" s="96"/>
      <c r="P16" s="97"/>
      <c r="Q16" s="101"/>
      <c r="R16" s="102"/>
      <c r="S16" s="103"/>
      <c r="T16" s="101"/>
      <c r="U16" s="102"/>
      <c r="V16" s="103"/>
      <c r="W16" s="95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7"/>
      <c r="AP16" s="101"/>
      <c r="AQ16" s="102"/>
      <c r="AR16" s="102"/>
      <c r="AS16" s="102"/>
      <c r="AT16" s="102"/>
      <c r="AU16" s="102"/>
      <c r="AV16" s="102"/>
      <c r="AW16" s="102"/>
      <c r="AX16" s="102"/>
      <c r="AY16" s="103"/>
      <c r="AZ16" s="95"/>
      <c r="BA16" s="96"/>
      <c r="BB16" s="96"/>
      <c r="BC16" s="96"/>
      <c r="BD16" s="96"/>
      <c r="BE16" s="96"/>
      <c r="BF16" s="96"/>
      <c r="BG16" s="96"/>
      <c r="BH16" s="96"/>
      <c r="BI16" s="145"/>
      <c r="BJ16" s="97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379</v>
      </c>
      <c r="D17" s="44">
        <v>1</v>
      </c>
      <c r="E17" s="40" t="s">
        <v>316</v>
      </c>
      <c r="F17" s="75" t="s">
        <v>347</v>
      </c>
      <c r="G17" s="95"/>
      <c r="H17" s="96"/>
      <c r="I17" s="96"/>
      <c r="J17" s="96"/>
      <c r="K17" s="96"/>
      <c r="L17" s="96"/>
      <c r="M17" s="96"/>
      <c r="N17" s="96"/>
      <c r="O17" s="96"/>
      <c r="P17" s="97"/>
      <c r="Q17" s="101"/>
      <c r="R17" s="102"/>
      <c r="S17" s="103"/>
      <c r="T17" s="101"/>
      <c r="U17" s="102"/>
      <c r="V17" s="103"/>
      <c r="W17" s="95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7"/>
      <c r="AP17" s="101"/>
      <c r="AQ17" s="102"/>
      <c r="AR17" s="102"/>
      <c r="AS17" s="102"/>
      <c r="AT17" s="102"/>
      <c r="AU17" s="102"/>
      <c r="AV17" s="102"/>
      <c r="AW17" s="102"/>
      <c r="AX17" s="102"/>
      <c r="AY17" s="103"/>
      <c r="AZ17" s="95"/>
      <c r="BA17" s="96"/>
      <c r="BB17" s="96"/>
      <c r="BC17" s="96"/>
      <c r="BD17" s="96"/>
      <c r="BE17" s="96"/>
      <c r="BF17" s="96"/>
      <c r="BG17" s="96"/>
      <c r="BH17" s="96"/>
      <c r="BI17" s="145"/>
      <c r="BJ17" s="97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380</v>
      </c>
      <c r="D18" s="44">
        <v>1</v>
      </c>
      <c r="E18" s="40" t="s">
        <v>317</v>
      </c>
      <c r="F18" s="75" t="s">
        <v>348</v>
      </c>
      <c r="G18" s="95"/>
      <c r="H18" s="96"/>
      <c r="I18" s="96"/>
      <c r="J18" s="96"/>
      <c r="K18" s="96"/>
      <c r="L18" s="96"/>
      <c r="M18" s="96"/>
      <c r="N18" s="96"/>
      <c r="O18" s="96"/>
      <c r="P18" s="97"/>
      <c r="Q18" s="101"/>
      <c r="R18" s="102"/>
      <c r="S18" s="103"/>
      <c r="T18" s="101"/>
      <c r="U18" s="102"/>
      <c r="V18" s="103"/>
      <c r="W18" s="95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7"/>
      <c r="AP18" s="101"/>
      <c r="AQ18" s="102"/>
      <c r="AR18" s="102"/>
      <c r="AS18" s="102"/>
      <c r="AT18" s="102"/>
      <c r="AU18" s="102"/>
      <c r="AV18" s="102"/>
      <c r="AW18" s="102"/>
      <c r="AX18" s="102"/>
      <c r="AY18" s="103"/>
      <c r="AZ18" s="95"/>
      <c r="BA18" s="96"/>
      <c r="BB18" s="96"/>
      <c r="BC18" s="96"/>
      <c r="BD18" s="96"/>
      <c r="BE18" s="96"/>
      <c r="BF18" s="96"/>
      <c r="BG18" s="96"/>
      <c r="BH18" s="96"/>
      <c r="BI18" s="145"/>
      <c r="BJ18" s="97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381</v>
      </c>
      <c r="D19" s="44">
        <v>1</v>
      </c>
      <c r="E19" s="40" t="s">
        <v>318</v>
      </c>
      <c r="F19" s="75" t="s">
        <v>349</v>
      </c>
      <c r="G19" s="95"/>
      <c r="H19" s="96"/>
      <c r="I19" s="96"/>
      <c r="J19" s="96"/>
      <c r="K19" s="96"/>
      <c r="L19" s="96"/>
      <c r="M19" s="96"/>
      <c r="N19" s="96"/>
      <c r="O19" s="96"/>
      <c r="P19" s="97"/>
      <c r="Q19" s="101"/>
      <c r="R19" s="102"/>
      <c r="S19" s="103"/>
      <c r="T19" s="101"/>
      <c r="U19" s="102"/>
      <c r="V19" s="103"/>
      <c r="W19" s="95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7"/>
      <c r="AP19" s="101"/>
      <c r="AQ19" s="102"/>
      <c r="AR19" s="102"/>
      <c r="AS19" s="102"/>
      <c r="AT19" s="102"/>
      <c r="AU19" s="102"/>
      <c r="AV19" s="102"/>
      <c r="AW19" s="102"/>
      <c r="AX19" s="102"/>
      <c r="AY19" s="103"/>
      <c r="AZ19" s="95"/>
      <c r="BA19" s="96"/>
      <c r="BB19" s="96"/>
      <c r="BC19" s="96"/>
      <c r="BD19" s="96"/>
      <c r="BE19" s="96"/>
      <c r="BF19" s="96"/>
      <c r="BG19" s="96"/>
      <c r="BH19" s="96"/>
      <c r="BI19" s="145"/>
      <c r="BJ19" s="97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382</v>
      </c>
      <c r="D20" s="44">
        <v>1</v>
      </c>
      <c r="E20" s="158" t="s">
        <v>209</v>
      </c>
      <c r="F20" s="159" t="s">
        <v>350</v>
      </c>
      <c r="G20" s="165" t="s">
        <v>105</v>
      </c>
      <c r="H20" s="162" t="s">
        <v>93</v>
      </c>
      <c r="I20" s="162" t="s">
        <v>657</v>
      </c>
      <c r="J20" s="162" t="s">
        <v>658</v>
      </c>
      <c r="K20" s="162" t="s">
        <v>147</v>
      </c>
      <c r="L20" s="162" t="s">
        <v>150</v>
      </c>
      <c r="M20" s="162" t="s">
        <v>153</v>
      </c>
      <c r="N20" s="162" t="s">
        <v>156</v>
      </c>
      <c r="O20" s="162" t="s">
        <v>159</v>
      </c>
      <c r="P20" s="163"/>
      <c r="Q20" s="160"/>
      <c r="R20" s="161"/>
      <c r="S20" s="164"/>
      <c r="T20" s="160"/>
      <c r="U20" s="161"/>
      <c r="V20" s="164"/>
      <c r="W20" s="165">
        <v>62</v>
      </c>
      <c r="X20" s="162">
        <v>67</v>
      </c>
      <c r="Y20" s="162">
        <v>68</v>
      </c>
      <c r="Z20" s="162">
        <v>69</v>
      </c>
      <c r="AA20" s="162">
        <v>70</v>
      </c>
      <c r="AB20" s="162">
        <v>72</v>
      </c>
      <c r="AC20" s="162">
        <v>73</v>
      </c>
      <c r="AD20" s="162">
        <v>74</v>
      </c>
      <c r="AE20" s="162">
        <v>75</v>
      </c>
      <c r="AF20" s="162">
        <v>76</v>
      </c>
      <c r="AG20" s="162">
        <v>95</v>
      </c>
      <c r="AH20" s="162">
        <v>97</v>
      </c>
      <c r="AI20" s="162">
        <v>99</v>
      </c>
      <c r="AJ20" s="162">
        <v>101</v>
      </c>
      <c r="AK20" s="162">
        <v>103</v>
      </c>
      <c r="AL20" s="162"/>
      <c r="AM20" s="162"/>
      <c r="AN20" s="162"/>
      <c r="AO20" s="163"/>
      <c r="AP20" s="160" t="s">
        <v>119</v>
      </c>
      <c r="AQ20" s="161"/>
      <c r="AR20" s="161"/>
      <c r="AS20" s="161"/>
      <c r="AT20" s="161"/>
      <c r="AU20" s="161"/>
      <c r="AV20" s="161"/>
      <c r="AW20" s="161"/>
      <c r="AX20" s="161"/>
      <c r="AY20" s="164"/>
      <c r="AZ20" s="165" t="s">
        <v>1043</v>
      </c>
      <c r="BA20" s="165" t="s">
        <v>114</v>
      </c>
      <c r="BB20" s="162" t="s">
        <v>115</v>
      </c>
      <c r="BC20" s="162" t="s">
        <v>116</v>
      </c>
      <c r="BD20" s="162" t="s">
        <v>117</v>
      </c>
      <c r="BE20" s="162" t="s">
        <v>118</v>
      </c>
      <c r="BF20" s="162" t="s">
        <v>140</v>
      </c>
      <c r="BG20" s="162"/>
      <c r="BH20" s="162"/>
      <c r="BI20" s="175"/>
      <c r="BJ20" s="163"/>
      <c r="BK20" s="85" t="s">
        <v>286</v>
      </c>
      <c r="BL20" s="11"/>
      <c r="BM20" s="85" t="s">
        <v>286</v>
      </c>
      <c r="BN20" s="85" t="s">
        <v>286</v>
      </c>
      <c r="BO20" s="11"/>
      <c r="BP20" s="11"/>
      <c r="BQ20" s="11"/>
      <c r="BR20" s="85" t="s">
        <v>286</v>
      </c>
    </row>
    <row r="21" spans="3:70" x14ac:dyDescent="0.25">
      <c r="C21" s="44" t="s">
        <v>383</v>
      </c>
      <c r="D21" s="44">
        <v>1</v>
      </c>
      <c r="E21" s="40" t="s">
        <v>319</v>
      </c>
      <c r="F21" s="75" t="s">
        <v>351</v>
      </c>
      <c r="G21" s="95"/>
      <c r="H21" s="96"/>
      <c r="I21" s="96"/>
      <c r="J21" s="96"/>
      <c r="K21" s="96"/>
      <c r="L21" s="96"/>
      <c r="M21" s="96"/>
      <c r="N21" s="96"/>
      <c r="O21" s="96"/>
      <c r="P21" s="97"/>
      <c r="Q21" s="101"/>
      <c r="R21" s="102"/>
      <c r="S21" s="103"/>
      <c r="T21" s="101"/>
      <c r="U21" s="102"/>
      <c r="V21" s="103"/>
      <c r="W21" s="95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7"/>
      <c r="AP21" s="101"/>
      <c r="AQ21" s="102"/>
      <c r="AR21" s="102"/>
      <c r="AS21" s="102"/>
      <c r="AT21" s="102"/>
      <c r="AU21" s="102"/>
      <c r="AV21" s="102"/>
      <c r="AW21" s="102"/>
      <c r="AX21" s="102"/>
      <c r="AY21" s="103"/>
      <c r="AZ21" s="95"/>
      <c r="BA21" s="96"/>
      <c r="BB21" s="96"/>
      <c r="BC21" s="96"/>
      <c r="BD21" s="96"/>
      <c r="BE21" s="96"/>
      <c r="BF21" s="96"/>
      <c r="BG21" s="96"/>
      <c r="BH21" s="96"/>
      <c r="BI21" s="145"/>
      <c r="BJ21" s="97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384</v>
      </c>
      <c r="D22" s="44">
        <v>1</v>
      </c>
      <c r="E22" s="158" t="s">
        <v>264</v>
      </c>
      <c r="F22" s="159" t="s">
        <v>352</v>
      </c>
      <c r="G22" s="165" t="s">
        <v>104</v>
      </c>
      <c r="H22" s="162" t="s">
        <v>83</v>
      </c>
      <c r="I22" s="162"/>
      <c r="J22" s="162"/>
      <c r="K22" s="162"/>
      <c r="L22" s="162"/>
      <c r="M22" s="162"/>
      <c r="N22" s="162"/>
      <c r="O22" s="162"/>
      <c r="P22" s="163"/>
      <c r="Q22" s="160"/>
      <c r="R22" s="161"/>
      <c r="S22" s="164"/>
      <c r="T22" s="160"/>
      <c r="U22" s="161"/>
      <c r="V22" s="164"/>
      <c r="W22" s="165">
        <v>28</v>
      </c>
      <c r="X22" s="162">
        <v>24</v>
      </c>
      <c r="Y22" s="162">
        <v>25</v>
      </c>
      <c r="Z22" s="162">
        <v>26</v>
      </c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3"/>
      <c r="AP22" s="160" t="s">
        <v>52</v>
      </c>
      <c r="AQ22" s="161"/>
      <c r="AR22" s="161"/>
      <c r="AS22" s="161"/>
      <c r="AT22" s="161"/>
      <c r="AU22" s="161"/>
      <c r="AV22" s="161"/>
      <c r="AW22" s="161"/>
      <c r="AX22" s="161"/>
      <c r="AY22" s="164"/>
      <c r="AZ22" s="165" t="s">
        <v>53</v>
      </c>
      <c r="BA22" s="162" t="s">
        <v>426</v>
      </c>
      <c r="BB22" s="162" t="s">
        <v>427</v>
      </c>
      <c r="BC22" s="162" t="s">
        <v>428</v>
      </c>
      <c r="BD22" s="162" t="s">
        <v>429</v>
      </c>
      <c r="BE22" s="162"/>
      <c r="BF22" s="162"/>
      <c r="BG22" s="162"/>
      <c r="BH22" s="162"/>
      <c r="BI22" s="175"/>
      <c r="BJ22" s="163"/>
      <c r="BK22" s="85" t="s">
        <v>286</v>
      </c>
      <c r="BL22" s="11"/>
      <c r="BM22" s="85" t="s">
        <v>286</v>
      </c>
      <c r="BN22" s="85" t="s">
        <v>286</v>
      </c>
      <c r="BO22" s="11"/>
      <c r="BP22" s="11"/>
      <c r="BQ22" s="11"/>
      <c r="BR22" s="85" t="s">
        <v>286</v>
      </c>
    </row>
    <row r="23" spans="3:70" x14ac:dyDescent="0.25">
      <c r="C23" s="44" t="s">
        <v>385</v>
      </c>
      <c r="D23" s="44">
        <v>2</v>
      </c>
      <c r="E23" s="158" t="s">
        <v>320</v>
      </c>
      <c r="F23" s="159" t="s">
        <v>353</v>
      </c>
      <c r="G23" s="160" t="s">
        <v>106</v>
      </c>
      <c r="H23" s="161" t="s">
        <v>75</v>
      </c>
      <c r="I23" s="162"/>
      <c r="J23" s="162"/>
      <c r="K23" s="162"/>
      <c r="L23" s="162"/>
      <c r="M23" s="162"/>
      <c r="N23" s="162"/>
      <c r="O23" s="162"/>
      <c r="P23" s="163"/>
      <c r="Q23" s="160" t="s">
        <v>73</v>
      </c>
      <c r="R23" s="161"/>
      <c r="S23" s="164"/>
      <c r="T23" s="160" t="s">
        <v>438</v>
      </c>
      <c r="U23" s="161"/>
      <c r="V23" s="164"/>
      <c r="W23" s="165">
        <v>154</v>
      </c>
      <c r="X23" s="162">
        <v>152</v>
      </c>
      <c r="Y23" s="162">
        <v>12</v>
      </c>
      <c r="Z23" s="162">
        <v>16</v>
      </c>
      <c r="AA23" s="162">
        <v>27</v>
      </c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3"/>
      <c r="AP23" s="160" t="s">
        <v>57</v>
      </c>
      <c r="AQ23" s="161" t="s">
        <v>61</v>
      </c>
      <c r="AR23" s="161" t="s">
        <v>55</v>
      </c>
      <c r="AS23" s="161"/>
      <c r="AT23" s="161"/>
      <c r="AU23" s="161"/>
      <c r="AV23" s="161"/>
      <c r="AW23" s="161"/>
      <c r="AX23" s="161"/>
      <c r="AY23" s="164"/>
      <c r="AZ23" s="165" t="s">
        <v>439</v>
      </c>
      <c r="BA23" s="162" t="s">
        <v>440</v>
      </c>
      <c r="BB23" s="162" t="s">
        <v>441</v>
      </c>
      <c r="BC23" s="162"/>
      <c r="BD23" s="162"/>
      <c r="BE23" s="162"/>
      <c r="BF23" s="162"/>
      <c r="BG23" s="162"/>
      <c r="BH23" s="162"/>
      <c r="BI23" s="175"/>
      <c r="BJ23" s="163" t="s">
        <v>651</v>
      </c>
      <c r="BK23" s="85" t="s">
        <v>286</v>
      </c>
      <c r="BL23" s="85" t="s">
        <v>286</v>
      </c>
      <c r="BM23" s="85" t="s">
        <v>286</v>
      </c>
      <c r="BN23" s="85" t="s">
        <v>286</v>
      </c>
      <c r="BO23" s="11"/>
      <c r="BP23" s="11"/>
      <c r="BQ23" s="11"/>
      <c r="BR23" s="85" t="s">
        <v>286</v>
      </c>
    </row>
    <row r="24" spans="3:70" x14ac:dyDescent="0.25">
      <c r="C24" s="44" t="s">
        <v>386</v>
      </c>
      <c r="D24" s="44">
        <v>2</v>
      </c>
      <c r="E24" s="40" t="s">
        <v>328</v>
      </c>
      <c r="F24" s="75" t="s">
        <v>354</v>
      </c>
      <c r="G24" s="95"/>
      <c r="H24" s="96"/>
      <c r="I24" s="96"/>
      <c r="J24" s="96"/>
      <c r="K24" s="96"/>
      <c r="L24" s="96"/>
      <c r="M24" s="96"/>
      <c r="N24" s="96"/>
      <c r="O24" s="96"/>
      <c r="P24" s="97"/>
      <c r="Q24" s="101"/>
      <c r="R24" s="102"/>
      <c r="S24" s="103"/>
      <c r="T24" s="101"/>
      <c r="U24" s="102"/>
      <c r="V24" s="103"/>
      <c r="W24" s="95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7"/>
      <c r="AP24" s="101"/>
      <c r="AQ24" s="102"/>
      <c r="AR24" s="102"/>
      <c r="AS24" s="102"/>
      <c r="AT24" s="102"/>
      <c r="AU24" s="102"/>
      <c r="AV24" s="102"/>
      <c r="AW24" s="102"/>
      <c r="AX24" s="102"/>
      <c r="AY24" s="103"/>
      <c r="AZ24" s="95"/>
      <c r="BA24" s="96"/>
      <c r="BB24" s="96"/>
      <c r="BC24" s="96"/>
      <c r="BD24" s="96"/>
      <c r="BE24" s="96"/>
      <c r="BF24" s="96"/>
      <c r="BG24" s="96"/>
      <c r="BH24" s="96"/>
      <c r="BI24" s="145"/>
      <c r="BJ24" s="97" t="s">
        <v>645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387</v>
      </c>
      <c r="D25" s="44">
        <v>2</v>
      </c>
      <c r="E25" s="187" t="s">
        <v>325</v>
      </c>
      <c r="F25" s="178" t="s">
        <v>355</v>
      </c>
      <c r="G25" s="188"/>
      <c r="H25" s="189"/>
      <c r="I25" s="189"/>
      <c r="J25" s="189"/>
      <c r="K25" s="189"/>
      <c r="L25" s="189"/>
      <c r="M25" s="189"/>
      <c r="N25" s="189"/>
      <c r="O25" s="189"/>
      <c r="P25" s="190"/>
      <c r="Q25" s="191"/>
      <c r="R25" s="192"/>
      <c r="S25" s="193"/>
      <c r="T25" s="191"/>
      <c r="U25" s="192"/>
      <c r="V25" s="193"/>
      <c r="W25" s="188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90"/>
      <c r="AP25" s="191"/>
      <c r="AQ25" s="192"/>
      <c r="AR25" s="192"/>
      <c r="AS25" s="192"/>
      <c r="AT25" s="192"/>
      <c r="AU25" s="192"/>
      <c r="AV25" s="192"/>
      <c r="AW25" s="192"/>
      <c r="AX25" s="192"/>
      <c r="AY25" s="193"/>
      <c r="AZ25" s="188"/>
      <c r="BA25" s="189"/>
      <c r="BB25" s="189"/>
      <c r="BC25" s="189"/>
      <c r="BD25" s="189"/>
      <c r="BE25" s="189"/>
      <c r="BF25" s="189"/>
      <c r="BG25" s="189"/>
      <c r="BH25" s="189"/>
      <c r="BI25" s="194"/>
      <c r="BJ25" s="190" t="s">
        <v>652</v>
      </c>
      <c r="BK25" s="195"/>
      <c r="BL25" s="196"/>
      <c r="BM25" s="195"/>
      <c r="BN25" s="195"/>
      <c r="BO25" s="195"/>
      <c r="BP25" s="195"/>
      <c r="BQ25" s="195"/>
      <c r="BR25" s="195"/>
    </row>
    <row r="26" spans="3:70" x14ac:dyDescent="0.25">
      <c r="C26" s="44" t="s">
        <v>388</v>
      </c>
      <c r="D26" s="44">
        <v>2</v>
      </c>
      <c r="E26" s="177" t="s">
        <v>326</v>
      </c>
      <c r="F26" s="178" t="s">
        <v>356</v>
      </c>
      <c r="G26" s="188"/>
      <c r="H26" s="189"/>
      <c r="I26" s="189"/>
      <c r="J26" s="189"/>
      <c r="K26" s="189"/>
      <c r="L26" s="189"/>
      <c r="M26" s="189"/>
      <c r="N26" s="189"/>
      <c r="O26" s="189"/>
      <c r="P26" s="190"/>
      <c r="Q26" s="191"/>
      <c r="R26" s="192"/>
      <c r="S26" s="193"/>
      <c r="T26" s="191"/>
      <c r="U26" s="192"/>
      <c r="V26" s="193"/>
      <c r="W26" s="188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90"/>
      <c r="AP26" s="191"/>
      <c r="AQ26" s="192"/>
      <c r="AR26" s="192"/>
      <c r="AS26" s="192"/>
      <c r="AT26" s="192"/>
      <c r="AU26" s="192"/>
      <c r="AV26" s="192"/>
      <c r="AW26" s="192"/>
      <c r="AX26" s="192"/>
      <c r="AY26" s="193"/>
      <c r="AZ26" s="188"/>
      <c r="BA26" s="189"/>
      <c r="BB26" s="189"/>
      <c r="BC26" s="189"/>
      <c r="BD26" s="189"/>
      <c r="BE26" s="189"/>
      <c r="BF26" s="189"/>
      <c r="BG26" s="189"/>
      <c r="BH26" s="189"/>
      <c r="BI26" s="194"/>
      <c r="BJ26" s="190" t="s">
        <v>653</v>
      </c>
      <c r="BK26" s="195"/>
      <c r="BL26" s="195"/>
      <c r="BM26" s="195"/>
      <c r="BN26" s="195"/>
      <c r="BO26" s="195"/>
      <c r="BP26" s="195"/>
      <c r="BQ26" s="195"/>
      <c r="BR26" s="195"/>
    </row>
    <row r="27" spans="3:70" x14ac:dyDescent="0.25">
      <c r="C27" s="44" t="s">
        <v>389</v>
      </c>
      <c r="D27" s="44">
        <v>2</v>
      </c>
      <c r="E27" s="177" t="s">
        <v>327</v>
      </c>
      <c r="F27" s="178" t="s">
        <v>357</v>
      </c>
      <c r="G27" s="188"/>
      <c r="H27" s="189"/>
      <c r="I27" s="189"/>
      <c r="J27" s="189"/>
      <c r="K27" s="189"/>
      <c r="L27" s="189"/>
      <c r="M27" s="189"/>
      <c r="N27" s="189"/>
      <c r="O27" s="189"/>
      <c r="P27" s="190"/>
      <c r="Q27" s="191"/>
      <c r="R27" s="192"/>
      <c r="S27" s="193"/>
      <c r="T27" s="191"/>
      <c r="U27" s="192"/>
      <c r="V27" s="193"/>
      <c r="W27" s="188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90"/>
      <c r="AP27" s="191"/>
      <c r="AQ27" s="192"/>
      <c r="AR27" s="192"/>
      <c r="AS27" s="192"/>
      <c r="AT27" s="192"/>
      <c r="AU27" s="192"/>
      <c r="AV27" s="192"/>
      <c r="AW27" s="192"/>
      <c r="AX27" s="192"/>
      <c r="AY27" s="193"/>
      <c r="AZ27" s="188"/>
      <c r="BA27" s="189"/>
      <c r="BB27" s="189"/>
      <c r="BC27" s="189"/>
      <c r="BD27" s="189"/>
      <c r="BE27" s="189"/>
      <c r="BF27" s="189"/>
      <c r="BG27" s="189"/>
      <c r="BH27" s="189"/>
      <c r="BI27" s="194" t="s">
        <v>652</v>
      </c>
      <c r="BJ27" s="190" t="s">
        <v>653</v>
      </c>
      <c r="BK27" s="195"/>
      <c r="BL27" s="195"/>
      <c r="BM27" s="195"/>
      <c r="BN27" s="195"/>
      <c r="BO27" s="195"/>
      <c r="BP27" s="195"/>
      <c r="BQ27" s="195"/>
      <c r="BR27" s="195"/>
    </row>
    <row r="28" spans="3:70" x14ac:dyDescent="0.25">
      <c r="C28" s="44" t="s">
        <v>390</v>
      </c>
      <c r="D28" s="44">
        <v>2</v>
      </c>
      <c r="E28" s="40" t="s">
        <v>1014</v>
      </c>
      <c r="F28" s="75" t="s">
        <v>1022</v>
      </c>
      <c r="G28" s="95"/>
      <c r="H28" s="96"/>
      <c r="I28" s="96"/>
      <c r="J28" s="96"/>
      <c r="K28" s="96"/>
      <c r="L28" s="96"/>
      <c r="M28" s="96"/>
      <c r="N28" s="96"/>
      <c r="O28" s="96"/>
      <c r="P28" s="97"/>
      <c r="Q28" s="101"/>
      <c r="R28" s="102"/>
      <c r="S28" s="103"/>
      <c r="T28" s="101"/>
      <c r="U28" s="102"/>
      <c r="V28" s="103"/>
      <c r="W28" s="95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7"/>
      <c r="AP28" s="101"/>
      <c r="AQ28" s="102"/>
      <c r="AR28" s="102"/>
      <c r="AS28" s="102"/>
      <c r="AT28" s="102"/>
      <c r="AU28" s="102"/>
      <c r="AV28" s="102"/>
      <c r="AW28" s="102"/>
      <c r="AX28" s="102"/>
      <c r="AY28" s="103"/>
      <c r="AZ28" s="95"/>
      <c r="BA28" s="96"/>
      <c r="BB28" s="96"/>
      <c r="BC28" s="96"/>
      <c r="BD28" s="96"/>
      <c r="BE28" s="96"/>
      <c r="BF28" s="96"/>
      <c r="BG28" s="96"/>
      <c r="BH28" s="96"/>
      <c r="BI28" s="145"/>
      <c r="BJ28" s="97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391</v>
      </c>
      <c r="D29" s="44">
        <v>2</v>
      </c>
      <c r="E29" s="40" t="s">
        <v>1015</v>
      </c>
      <c r="F29" s="75" t="s">
        <v>1019</v>
      </c>
      <c r="G29" s="95"/>
      <c r="H29" s="96"/>
      <c r="I29" s="96"/>
      <c r="J29" s="96"/>
      <c r="K29" s="96"/>
      <c r="L29" s="96"/>
      <c r="M29" s="96"/>
      <c r="N29" s="96"/>
      <c r="O29" s="96"/>
      <c r="P29" s="97"/>
      <c r="Q29" s="101"/>
      <c r="R29" s="102"/>
      <c r="S29" s="103"/>
      <c r="T29" s="101"/>
      <c r="U29" s="102"/>
      <c r="V29" s="103"/>
      <c r="W29" s="95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7"/>
      <c r="AP29" s="101"/>
      <c r="AQ29" s="102"/>
      <c r="AR29" s="102"/>
      <c r="AS29" s="102"/>
      <c r="AT29" s="102"/>
      <c r="AU29" s="102"/>
      <c r="AV29" s="102"/>
      <c r="AW29" s="102"/>
      <c r="AX29" s="102"/>
      <c r="AY29" s="103"/>
      <c r="AZ29" s="95"/>
      <c r="BA29" s="96"/>
      <c r="BB29" s="96"/>
      <c r="BC29" s="96"/>
      <c r="BD29" s="96"/>
      <c r="BE29" s="96"/>
      <c r="BF29" s="96"/>
      <c r="BG29" s="96"/>
      <c r="BH29" s="96"/>
      <c r="BI29" s="145"/>
      <c r="BJ29" s="97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392</v>
      </c>
      <c r="D30" s="44">
        <v>2</v>
      </c>
      <c r="E30" s="40" t="s">
        <v>1016</v>
      </c>
      <c r="F30" s="75" t="s">
        <v>1020</v>
      </c>
      <c r="G30" s="95"/>
      <c r="H30" s="96"/>
      <c r="I30" s="96"/>
      <c r="J30" s="96"/>
      <c r="K30" s="96"/>
      <c r="L30" s="96"/>
      <c r="M30" s="96"/>
      <c r="N30" s="96"/>
      <c r="O30" s="96"/>
      <c r="P30" s="97"/>
      <c r="Q30" s="101"/>
      <c r="R30" s="102"/>
      <c r="S30" s="103"/>
      <c r="T30" s="101"/>
      <c r="U30" s="102"/>
      <c r="V30" s="103"/>
      <c r="W30" s="95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7"/>
      <c r="AP30" s="101"/>
      <c r="AQ30" s="102"/>
      <c r="AR30" s="102"/>
      <c r="AS30" s="102"/>
      <c r="AT30" s="102"/>
      <c r="AU30" s="102"/>
      <c r="AV30" s="102"/>
      <c r="AW30" s="102"/>
      <c r="AX30" s="102"/>
      <c r="AY30" s="103"/>
      <c r="AZ30" s="95"/>
      <c r="BA30" s="96"/>
      <c r="BB30" s="96"/>
      <c r="BC30" s="96"/>
      <c r="BD30" s="96"/>
      <c r="BE30" s="96"/>
      <c r="BF30" s="96"/>
      <c r="BG30" s="96"/>
      <c r="BH30" s="96"/>
      <c r="BI30" s="145"/>
      <c r="BJ30" s="97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393</v>
      </c>
      <c r="D31" s="44">
        <v>2</v>
      </c>
      <c r="E31" s="40" t="s">
        <v>1017</v>
      </c>
      <c r="F31" s="75" t="s">
        <v>1021</v>
      </c>
      <c r="G31" s="95"/>
      <c r="H31" s="96"/>
      <c r="I31" s="96"/>
      <c r="J31" s="96"/>
      <c r="K31" s="96"/>
      <c r="L31" s="96"/>
      <c r="M31" s="96"/>
      <c r="N31" s="96"/>
      <c r="O31" s="96"/>
      <c r="P31" s="97"/>
      <c r="Q31" s="101"/>
      <c r="R31" s="102"/>
      <c r="S31" s="103"/>
      <c r="T31" s="101"/>
      <c r="U31" s="102"/>
      <c r="V31" s="103"/>
      <c r="W31" s="95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7"/>
      <c r="AP31" s="101"/>
      <c r="AQ31" s="102"/>
      <c r="AR31" s="102"/>
      <c r="AS31" s="102"/>
      <c r="AT31" s="102"/>
      <c r="AU31" s="102"/>
      <c r="AV31" s="102"/>
      <c r="AW31" s="102"/>
      <c r="AX31" s="102"/>
      <c r="AY31" s="103"/>
      <c r="AZ31" s="95"/>
      <c r="BA31" s="96"/>
      <c r="BB31" s="96"/>
      <c r="BC31" s="96"/>
      <c r="BD31" s="96"/>
      <c r="BE31" s="96"/>
      <c r="BF31" s="96"/>
      <c r="BG31" s="96"/>
      <c r="BH31" s="96"/>
      <c r="BI31" s="145"/>
      <c r="BJ31" s="97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215</v>
      </c>
      <c r="D32" s="44">
        <v>2</v>
      </c>
      <c r="E32" s="107" t="s">
        <v>435</v>
      </c>
      <c r="F32" s="109" t="s">
        <v>436</v>
      </c>
      <c r="G32" s="110" t="s">
        <v>107</v>
      </c>
      <c r="H32" s="111" t="s">
        <v>199</v>
      </c>
      <c r="I32" s="111" t="s">
        <v>202</v>
      </c>
      <c r="J32" s="111" t="s">
        <v>204</v>
      </c>
      <c r="K32" s="111"/>
      <c r="L32" s="111"/>
      <c r="M32" s="111"/>
      <c r="N32" s="111"/>
      <c r="O32" s="111"/>
      <c r="P32" s="112"/>
      <c r="Q32" s="113"/>
      <c r="R32" s="114"/>
      <c r="S32" s="115"/>
      <c r="T32" s="113"/>
      <c r="U32" s="114"/>
      <c r="V32" s="115"/>
      <c r="W32" s="110">
        <v>146</v>
      </c>
      <c r="X32" s="111">
        <v>145</v>
      </c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2"/>
      <c r="AP32" s="113" t="s">
        <v>196</v>
      </c>
      <c r="AQ32" s="114"/>
      <c r="AR32" s="114"/>
      <c r="AS32" s="114"/>
      <c r="AT32" s="114"/>
      <c r="AU32" s="114"/>
      <c r="AV32" s="114"/>
      <c r="AW32" s="114"/>
      <c r="AX32" s="114"/>
      <c r="AY32" s="115"/>
      <c r="AZ32" s="110"/>
      <c r="BA32" s="111"/>
      <c r="BB32" s="111"/>
      <c r="BC32" s="111"/>
      <c r="BD32" s="111"/>
      <c r="BE32" s="111"/>
      <c r="BF32" s="111"/>
      <c r="BG32" s="111"/>
      <c r="BH32" s="111"/>
      <c r="BI32" s="146"/>
      <c r="BJ32" s="112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216</v>
      </c>
      <c r="D33" s="44">
        <v>2</v>
      </c>
      <c r="E33" s="158" t="s">
        <v>433</v>
      </c>
      <c r="F33" s="159" t="s">
        <v>434</v>
      </c>
      <c r="G33" s="165" t="s">
        <v>107</v>
      </c>
      <c r="H33" s="162" t="s">
        <v>201</v>
      </c>
      <c r="I33" s="162" t="s">
        <v>203</v>
      </c>
      <c r="J33" s="162"/>
      <c r="K33" s="162"/>
      <c r="L33" s="162"/>
      <c r="M33" s="162"/>
      <c r="N33" s="162"/>
      <c r="O33" s="162"/>
      <c r="P33" s="163"/>
      <c r="Q33" s="160"/>
      <c r="R33" s="161"/>
      <c r="S33" s="164"/>
      <c r="T33" s="160"/>
      <c r="U33" s="161"/>
      <c r="V33" s="164"/>
      <c r="W33" s="165">
        <v>146</v>
      </c>
      <c r="X33" s="162">
        <v>145</v>
      </c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3"/>
      <c r="AP33" s="160" t="s">
        <v>196</v>
      </c>
      <c r="AQ33" s="161"/>
      <c r="AR33" s="161"/>
      <c r="AS33" s="161"/>
      <c r="AT33" s="161"/>
      <c r="AU33" s="161"/>
      <c r="AV33" s="161"/>
      <c r="AW33" s="161"/>
      <c r="AX33" s="161"/>
      <c r="AY33" s="164"/>
      <c r="AZ33" s="165"/>
      <c r="BA33" s="162"/>
      <c r="BB33" s="162"/>
      <c r="BC33" s="162"/>
      <c r="BD33" s="162"/>
      <c r="BE33" s="162"/>
      <c r="BF33" s="162"/>
      <c r="BG33" s="162"/>
      <c r="BH33" s="162"/>
      <c r="BI33" s="175"/>
      <c r="BJ33" s="163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217</v>
      </c>
      <c r="D34" s="44">
        <v>2</v>
      </c>
      <c r="E34" s="148" t="s">
        <v>1013</v>
      </c>
      <c r="F34" s="149" t="s">
        <v>1018</v>
      </c>
      <c r="G34" s="155" t="s">
        <v>107</v>
      </c>
      <c r="H34" s="152" t="s">
        <v>200</v>
      </c>
      <c r="I34" s="152"/>
      <c r="J34" s="152"/>
      <c r="K34" s="152"/>
      <c r="L34" s="152"/>
      <c r="M34" s="152"/>
      <c r="N34" s="152"/>
      <c r="O34" s="152"/>
      <c r="P34" s="153"/>
      <c r="Q34" s="150"/>
      <c r="R34" s="151"/>
      <c r="S34" s="154"/>
      <c r="T34" s="150"/>
      <c r="U34" s="151"/>
      <c r="V34" s="154"/>
      <c r="W34" s="155">
        <v>146</v>
      </c>
      <c r="X34" s="152">
        <v>144</v>
      </c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3"/>
      <c r="AP34" s="150" t="s">
        <v>195</v>
      </c>
      <c r="AQ34" s="151"/>
      <c r="AR34" s="151"/>
      <c r="AS34" s="151"/>
      <c r="AT34" s="151"/>
      <c r="AU34" s="151"/>
      <c r="AV34" s="151"/>
      <c r="AW34" s="151"/>
      <c r="AX34" s="151"/>
      <c r="AY34" s="154"/>
      <c r="AZ34" s="155"/>
      <c r="BA34" s="152"/>
      <c r="BB34" s="152"/>
      <c r="BC34" s="152"/>
      <c r="BD34" s="152"/>
      <c r="BE34" s="152"/>
      <c r="BF34" s="152"/>
      <c r="BG34" s="152"/>
      <c r="BH34" s="152"/>
      <c r="BI34" s="156"/>
      <c r="BJ34" s="153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218</v>
      </c>
      <c r="D35" s="44">
        <v>2</v>
      </c>
      <c r="E35" s="40" t="s">
        <v>263</v>
      </c>
      <c r="F35" s="75" t="s">
        <v>330</v>
      </c>
      <c r="G35" s="95"/>
      <c r="H35" s="96"/>
      <c r="I35" s="96"/>
      <c r="J35" s="96"/>
      <c r="K35" s="96"/>
      <c r="L35" s="96"/>
      <c r="M35" s="96"/>
      <c r="N35" s="96"/>
      <c r="O35" s="96"/>
      <c r="P35" s="97"/>
      <c r="Q35" s="101"/>
      <c r="R35" s="102"/>
      <c r="S35" s="103"/>
      <c r="T35" s="101"/>
      <c r="U35" s="102"/>
      <c r="V35" s="103"/>
      <c r="W35" s="95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7"/>
      <c r="AP35" s="101"/>
      <c r="AQ35" s="102"/>
      <c r="AR35" s="102"/>
      <c r="AS35" s="102"/>
      <c r="AT35" s="102"/>
      <c r="AU35" s="102"/>
      <c r="AV35" s="102"/>
      <c r="AW35" s="102"/>
      <c r="AX35" s="102"/>
      <c r="AY35" s="103"/>
      <c r="AZ35" s="95"/>
      <c r="BA35" s="96"/>
      <c r="BB35" s="96"/>
      <c r="BC35" s="96"/>
      <c r="BD35" s="96"/>
      <c r="BE35" s="96"/>
      <c r="BF35" s="96"/>
      <c r="BG35" s="96"/>
      <c r="BH35" s="96"/>
      <c r="BI35" s="145"/>
      <c r="BJ35" s="97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219</v>
      </c>
      <c r="D36" s="44">
        <v>2</v>
      </c>
      <c r="E36" s="40" t="s">
        <v>212</v>
      </c>
      <c r="F36" s="75" t="s">
        <v>331</v>
      </c>
      <c r="G36" s="95"/>
      <c r="H36" s="96"/>
      <c r="I36" s="96"/>
      <c r="J36" s="96"/>
      <c r="K36" s="96"/>
      <c r="L36" s="96"/>
      <c r="M36" s="96"/>
      <c r="N36" s="96"/>
      <c r="O36" s="96"/>
      <c r="P36" s="97"/>
      <c r="Q36" s="101"/>
      <c r="R36" s="102"/>
      <c r="S36" s="103"/>
      <c r="T36" s="101"/>
      <c r="U36" s="102"/>
      <c r="V36" s="103"/>
      <c r="W36" s="95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7"/>
      <c r="AP36" s="101"/>
      <c r="AQ36" s="102"/>
      <c r="AR36" s="102"/>
      <c r="AS36" s="102"/>
      <c r="AT36" s="102"/>
      <c r="AU36" s="102"/>
      <c r="AV36" s="102"/>
      <c r="AW36" s="102"/>
      <c r="AX36" s="102"/>
      <c r="AY36" s="103"/>
      <c r="AZ36" s="95"/>
      <c r="BA36" s="96"/>
      <c r="BB36" s="96"/>
      <c r="BC36" s="96"/>
      <c r="BD36" s="96"/>
      <c r="BE36" s="96"/>
      <c r="BF36" s="96"/>
      <c r="BG36" s="96"/>
      <c r="BH36" s="96"/>
      <c r="BI36" s="145"/>
      <c r="BJ36" s="97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220</v>
      </c>
      <c r="D37" s="44">
        <v>2</v>
      </c>
      <c r="E37" s="40" t="s">
        <v>211</v>
      </c>
      <c r="F37" s="75" t="s">
        <v>332</v>
      </c>
      <c r="G37" s="95"/>
      <c r="H37" s="96"/>
      <c r="I37" s="96"/>
      <c r="J37" s="96"/>
      <c r="K37" s="96"/>
      <c r="L37" s="96"/>
      <c r="M37" s="96"/>
      <c r="N37" s="96"/>
      <c r="O37" s="96"/>
      <c r="P37" s="97"/>
      <c r="Q37" s="101"/>
      <c r="R37" s="102"/>
      <c r="S37" s="103"/>
      <c r="T37" s="101"/>
      <c r="U37" s="102"/>
      <c r="V37" s="103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7"/>
      <c r="AP37" s="101"/>
      <c r="AQ37" s="102"/>
      <c r="AR37" s="102"/>
      <c r="AS37" s="102"/>
      <c r="AT37" s="102"/>
      <c r="AU37" s="102"/>
      <c r="AV37" s="102"/>
      <c r="AW37" s="102"/>
      <c r="AX37" s="102"/>
      <c r="AY37" s="103"/>
      <c r="AZ37" s="95"/>
      <c r="BA37" s="96"/>
      <c r="BB37" s="96"/>
      <c r="BC37" s="96"/>
      <c r="BD37" s="96"/>
      <c r="BE37" s="96"/>
      <c r="BF37" s="96"/>
      <c r="BG37" s="96"/>
      <c r="BH37" s="96"/>
      <c r="BI37" s="145"/>
      <c r="BJ37" s="97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221</v>
      </c>
      <c r="D38" s="44">
        <v>2</v>
      </c>
      <c r="E38" s="40" t="s">
        <v>213</v>
      </c>
      <c r="F38" s="75" t="s">
        <v>333</v>
      </c>
      <c r="G38" s="95"/>
      <c r="H38" s="96"/>
      <c r="I38" s="96"/>
      <c r="J38" s="96"/>
      <c r="K38" s="96"/>
      <c r="L38" s="96"/>
      <c r="M38" s="96"/>
      <c r="N38" s="96"/>
      <c r="O38" s="96"/>
      <c r="P38" s="97"/>
      <c r="Q38" s="101"/>
      <c r="R38" s="102"/>
      <c r="S38" s="103"/>
      <c r="T38" s="101"/>
      <c r="U38" s="102"/>
      <c r="V38" s="103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7"/>
      <c r="AP38" s="101"/>
      <c r="AQ38" s="102"/>
      <c r="AR38" s="102"/>
      <c r="AS38" s="102"/>
      <c r="AT38" s="102"/>
      <c r="AU38" s="102"/>
      <c r="AV38" s="102"/>
      <c r="AW38" s="102"/>
      <c r="AX38" s="102"/>
      <c r="AY38" s="103"/>
      <c r="AZ38" s="95"/>
      <c r="BA38" s="96"/>
      <c r="BB38" s="96"/>
      <c r="BC38" s="96"/>
      <c r="BD38" s="96"/>
      <c r="BE38" s="96"/>
      <c r="BF38" s="96"/>
      <c r="BG38" s="96"/>
      <c r="BH38" s="96"/>
      <c r="BI38" s="145"/>
      <c r="BJ38" s="97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222</v>
      </c>
      <c r="D39" s="44">
        <v>2</v>
      </c>
      <c r="E39" s="40" t="s">
        <v>214</v>
      </c>
      <c r="F39" s="75" t="s">
        <v>334</v>
      </c>
      <c r="G39" s="95"/>
      <c r="H39" s="96"/>
      <c r="I39" s="96"/>
      <c r="J39" s="96"/>
      <c r="K39" s="96"/>
      <c r="L39" s="96"/>
      <c r="M39" s="96"/>
      <c r="N39" s="96"/>
      <c r="O39" s="96"/>
      <c r="P39" s="97"/>
      <c r="Q39" s="101"/>
      <c r="R39" s="102"/>
      <c r="S39" s="103"/>
      <c r="T39" s="101"/>
      <c r="U39" s="102"/>
      <c r="V39" s="103"/>
      <c r="W39" s="95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101"/>
      <c r="AQ39" s="102"/>
      <c r="AR39" s="102"/>
      <c r="AS39" s="102"/>
      <c r="AT39" s="102"/>
      <c r="AU39" s="102"/>
      <c r="AV39" s="102"/>
      <c r="AW39" s="102"/>
      <c r="AX39" s="102"/>
      <c r="AY39" s="103"/>
      <c r="AZ39" s="95"/>
      <c r="BA39" s="96"/>
      <c r="BB39" s="96"/>
      <c r="BC39" s="96"/>
      <c r="BD39" s="96"/>
      <c r="BE39" s="96"/>
      <c r="BF39" s="96"/>
      <c r="BG39" s="96"/>
      <c r="BH39" s="96"/>
      <c r="BI39" s="145"/>
      <c r="BJ39" s="97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223</v>
      </c>
      <c r="D40" s="44">
        <v>2</v>
      </c>
      <c r="E40" s="40" t="s">
        <v>210</v>
      </c>
      <c r="F40" s="75" t="s">
        <v>335</v>
      </c>
      <c r="G40" s="95"/>
      <c r="H40" s="96"/>
      <c r="I40" s="96"/>
      <c r="J40" s="96"/>
      <c r="K40" s="96"/>
      <c r="L40" s="96"/>
      <c r="M40" s="96"/>
      <c r="N40" s="96"/>
      <c r="O40" s="96"/>
      <c r="P40" s="97"/>
      <c r="Q40" s="101"/>
      <c r="R40" s="102"/>
      <c r="S40" s="103"/>
      <c r="T40" s="101"/>
      <c r="U40" s="102"/>
      <c r="V40" s="103"/>
      <c r="W40" s="95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7"/>
      <c r="AP40" s="101"/>
      <c r="AQ40" s="102"/>
      <c r="AR40" s="102"/>
      <c r="AS40" s="102"/>
      <c r="AT40" s="102"/>
      <c r="AU40" s="102"/>
      <c r="AV40" s="102"/>
      <c r="AW40" s="102"/>
      <c r="AX40" s="102"/>
      <c r="AY40" s="103"/>
      <c r="AZ40" s="95"/>
      <c r="BA40" s="96"/>
      <c r="BB40" s="96"/>
      <c r="BC40" s="96"/>
      <c r="BD40" s="96"/>
      <c r="BE40" s="96"/>
      <c r="BF40" s="96"/>
      <c r="BG40" s="96"/>
      <c r="BH40" s="96"/>
      <c r="BI40" s="145"/>
      <c r="BJ40" s="97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394</v>
      </c>
      <c r="D41" s="44">
        <v>3</v>
      </c>
      <c r="E41" s="158" t="s">
        <v>266</v>
      </c>
      <c r="F41" s="159" t="s">
        <v>358</v>
      </c>
      <c r="G41" s="165" t="s">
        <v>108</v>
      </c>
      <c r="H41" s="162" t="s">
        <v>157</v>
      </c>
      <c r="I41" s="162" t="s">
        <v>167</v>
      </c>
      <c r="J41" s="162" t="s">
        <v>142</v>
      </c>
      <c r="K41" s="162"/>
      <c r="L41" s="162"/>
      <c r="M41" s="162"/>
      <c r="N41" s="162"/>
      <c r="O41" s="162"/>
      <c r="P41" s="163" t="s">
        <v>142</v>
      </c>
      <c r="Q41" s="160" t="s">
        <v>166</v>
      </c>
      <c r="R41" s="161"/>
      <c r="S41" s="164"/>
      <c r="T41" s="160" t="s">
        <v>442</v>
      </c>
      <c r="U41" s="161"/>
      <c r="V41" s="164"/>
      <c r="W41" s="165">
        <v>93</v>
      </c>
      <c r="X41" s="162">
        <v>88</v>
      </c>
      <c r="Y41" s="162">
        <v>108</v>
      </c>
      <c r="Z41" s="162">
        <v>113</v>
      </c>
      <c r="AA41" s="162">
        <v>140</v>
      </c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160" t="s">
        <v>131</v>
      </c>
      <c r="AQ41" s="161"/>
      <c r="AR41" s="161"/>
      <c r="AS41" s="161"/>
      <c r="AT41" s="161"/>
      <c r="AU41" s="161"/>
      <c r="AV41" s="161" t="s">
        <v>662</v>
      </c>
      <c r="AW41" s="161"/>
      <c r="AX41" s="161"/>
      <c r="AY41" s="164"/>
      <c r="AZ41" s="165" t="s">
        <v>129</v>
      </c>
      <c r="BA41" s="162"/>
      <c r="BB41" s="162"/>
      <c r="BC41" s="162"/>
      <c r="BD41" s="162"/>
      <c r="BE41" s="162"/>
      <c r="BF41" s="162"/>
      <c r="BG41" s="162"/>
      <c r="BH41" s="162"/>
      <c r="BI41" s="175"/>
      <c r="BJ41" s="163" t="s">
        <v>646</v>
      </c>
      <c r="BK41" s="85" t="s">
        <v>286</v>
      </c>
      <c r="BL41" s="11"/>
      <c r="BM41" s="85" t="s">
        <v>286</v>
      </c>
      <c r="BN41" s="85" t="s">
        <v>286</v>
      </c>
      <c r="BO41" s="11"/>
      <c r="BP41" s="11"/>
      <c r="BQ41" s="11"/>
      <c r="BR41" s="85" t="s">
        <v>286</v>
      </c>
    </row>
    <row r="42" spans="3:70" x14ac:dyDescent="0.25">
      <c r="C42" s="44" t="s">
        <v>395</v>
      </c>
      <c r="D42" s="44">
        <v>3</v>
      </c>
      <c r="E42" s="158" t="s">
        <v>267</v>
      </c>
      <c r="F42" s="159" t="s">
        <v>359</v>
      </c>
      <c r="G42" s="165" t="s">
        <v>109</v>
      </c>
      <c r="H42" s="162" t="s">
        <v>154</v>
      </c>
      <c r="I42" s="162" t="s">
        <v>170</v>
      </c>
      <c r="J42" s="162" t="s">
        <v>143</v>
      </c>
      <c r="K42" s="162"/>
      <c r="L42" s="162"/>
      <c r="M42" s="162"/>
      <c r="N42" s="162"/>
      <c r="O42" s="162"/>
      <c r="P42" s="163" t="s">
        <v>143</v>
      </c>
      <c r="Q42" s="160" t="s">
        <v>166</v>
      </c>
      <c r="R42" s="161"/>
      <c r="S42" s="164"/>
      <c r="T42" s="160" t="s">
        <v>442</v>
      </c>
      <c r="U42" s="161"/>
      <c r="V42" s="164"/>
      <c r="W42" s="165">
        <v>92</v>
      </c>
      <c r="X42" s="162">
        <v>87</v>
      </c>
      <c r="Y42" s="162">
        <v>107</v>
      </c>
      <c r="Z42" s="162">
        <v>112</v>
      </c>
      <c r="AA42" s="162">
        <v>140</v>
      </c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160" t="s">
        <v>132</v>
      </c>
      <c r="AQ42" s="161"/>
      <c r="AR42" s="161"/>
      <c r="AS42" s="161"/>
      <c r="AT42" s="161"/>
      <c r="AU42" s="161"/>
      <c r="AV42" s="161" t="s">
        <v>663</v>
      </c>
      <c r="AW42" s="161"/>
      <c r="AX42" s="161"/>
      <c r="AY42" s="164"/>
      <c r="AZ42" s="165" t="s">
        <v>128</v>
      </c>
      <c r="BA42" s="162"/>
      <c r="BB42" s="162"/>
      <c r="BC42" s="162"/>
      <c r="BD42" s="162"/>
      <c r="BE42" s="162"/>
      <c r="BF42" s="162"/>
      <c r="BG42" s="162"/>
      <c r="BH42" s="162"/>
      <c r="BI42" s="175"/>
      <c r="BJ42" s="163" t="s">
        <v>647</v>
      </c>
      <c r="BK42" s="85" t="s">
        <v>286</v>
      </c>
      <c r="BL42" s="11"/>
      <c r="BM42" s="85" t="s">
        <v>286</v>
      </c>
      <c r="BN42" s="85" t="s">
        <v>286</v>
      </c>
      <c r="BO42" s="11"/>
      <c r="BP42" s="11"/>
      <c r="BQ42" s="11"/>
      <c r="BR42" s="85" t="s">
        <v>286</v>
      </c>
    </row>
    <row r="43" spans="3:70" x14ac:dyDescent="0.25">
      <c r="C43" s="44" t="s">
        <v>396</v>
      </c>
      <c r="D43" s="44">
        <v>3</v>
      </c>
      <c r="E43" s="158" t="s">
        <v>268</v>
      </c>
      <c r="F43" s="159" t="s">
        <v>360</v>
      </c>
      <c r="G43" s="165" t="s">
        <v>110</v>
      </c>
      <c r="H43" s="162" t="s">
        <v>151</v>
      </c>
      <c r="I43" s="162" t="s">
        <v>173</v>
      </c>
      <c r="J43" s="162" t="s">
        <v>144</v>
      </c>
      <c r="K43" s="162"/>
      <c r="L43" s="162"/>
      <c r="M43" s="162"/>
      <c r="N43" s="162"/>
      <c r="O43" s="162"/>
      <c r="P43" s="163" t="s">
        <v>144</v>
      </c>
      <c r="Q43" s="160" t="s">
        <v>166</v>
      </c>
      <c r="R43" s="161"/>
      <c r="S43" s="164"/>
      <c r="T43" s="160" t="s">
        <v>442</v>
      </c>
      <c r="U43" s="161"/>
      <c r="V43" s="164"/>
      <c r="W43" s="165">
        <v>91</v>
      </c>
      <c r="X43" s="162">
        <v>86</v>
      </c>
      <c r="Y43" s="162">
        <v>106</v>
      </c>
      <c r="Z43" s="162">
        <v>111</v>
      </c>
      <c r="AA43" s="162">
        <v>140</v>
      </c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160" t="s">
        <v>133</v>
      </c>
      <c r="AQ43" s="161"/>
      <c r="AR43" s="161"/>
      <c r="AS43" s="161"/>
      <c r="AT43" s="161"/>
      <c r="AU43" s="161"/>
      <c r="AV43" s="161" t="s">
        <v>664</v>
      </c>
      <c r="AW43" s="161"/>
      <c r="AX43" s="161"/>
      <c r="AY43" s="164"/>
      <c r="AZ43" s="165" t="s">
        <v>127</v>
      </c>
      <c r="BA43" s="162"/>
      <c r="BB43" s="162"/>
      <c r="BC43" s="162"/>
      <c r="BD43" s="162"/>
      <c r="BE43" s="162"/>
      <c r="BF43" s="162"/>
      <c r="BG43" s="162"/>
      <c r="BH43" s="162"/>
      <c r="BI43" s="175"/>
      <c r="BJ43" s="163" t="s">
        <v>648</v>
      </c>
      <c r="BK43" s="85" t="s">
        <v>286</v>
      </c>
      <c r="BL43" s="11"/>
      <c r="BM43" s="85" t="s">
        <v>286</v>
      </c>
      <c r="BN43" s="85" t="s">
        <v>286</v>
      </c>
      <c r="BO43" s="11"/>
      <c r="BP43" s="11"/>
      <c r="BQ43" s="11"/>
      <c r="BR43" s="85" t="s">
        <v>286</v>
      </c>
    </row>
    <row r="44" spans="3:70" x14ac:dyDescent="0.25">
      <c r="C44" s="44" t="s">
        <v>397</v>
      </c>
      <c r="D44" s="44">
        <v>3</v>
      </c>
      <c r="E44" s="158" t="s">
        <v>269</v>
      </c>
      <c r="F44" s="159" t="s">
        <v>361</v>
      </c>
      <c r="G44" s="160" t="s">
        <v>111</v>
      </c>
      <c r="H44" s="161" t="s">
        <v>148</v>
      </c>
      <c r="I44" s="162" t="s">
        <v>176</v>
      </c>
      <c r="J44" s="162" t="s">
        <v>145</v>
      </c>
      <c r="K44" s="162"/>
      <c r="L44" s="162"/>
      <c r="M44" s="162"/>
      <c r="N44" s="162"/>
      <c r="O44" s="162"/>
      <c r="P44" s="163" t="s">
        <v>145</v>
      </c>
      <c r="Q44" s="160" t="s">
        <v>166</v>
      </c>
      <c r="R44" s="161"/>
      <c r="S44" s="164"/>
      <c r="T44" s="160" t="s">
        <v>442</v>
      </c>
      <c r="U44" s="161"/>
      <c r="V44" s="164"/>
      <c r="W44" s="165">
        <v>90</v>
      </c>
      <c r="X44" s="162">
        <v>85</v>
      </c>
      <c r="Y44" s="162">
        <v>105</v>
      </c>
      <c r="Z44" s="162">
        <v>110</v>
      </c>
      <c r="AA44" s="162">
        <v>140</v>
      </c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160" t="s">
        <v>134</v>
      </c>
      <c r="AQ44" s="161"/>
      <c r="AR44" s="161"/>
      <c r="AS44" s="161"/>
      <c r="AT44" s="161"/>
      <c r="AU44" s="161"/>
      <c r="AV44" s="161" t="s">
        <v>665</v>
      </c>
      <c r="AW44" s="161"/>
      <c r="AX44" s="161"/>
      <c r="AY44" s="164"/>
      <c r="AZ44" s="165" t="s">
        <v>126</v>
      </c>
      <c r="BA44" s="162"/>
      <c r="BB44" s="162"/>
      <c r="BC44" s="162"/>
      <c r="BD44" s="162"/>
      <c r="BE44" s="162"/>
      <c r="BF44" s="162"/>
      <c r="BG44" s="162"/>
      <c r="BH44" s="162"/>
      <c r="BI44" s="175"/>
      <c r="BJ44" s="163" t="s">
        <v>649</v>
      </c>
      <c r="BK44" s="85" t="s">
        <v>286</v>
      </c>
      <c r="BL44" s="11"/>
      <c r="BM44" s="85" t="s">
        <v>286</v>
      </c>
      <c r="BN44" s="85" t="s">
        <v>286</v>
      </c>
      <c r="BO44" s="11"/>
      <c r="BP44" s="11"/>
      <c r="BQ44" s="11"/>
      <c r="BR44" s="85" t="s">
        <v>286</v>
      </c>
    </row>
    <row r="45" spans="3:70" x14ac:dyDescent="0.25">
      <c r="C45" s="44" t="s">
        <v>398</v>
      </c>
      <c r="D45" s="44">
        <v>3</v>
      </c>
      <c r="E45" s="40" t="s">
        <v>270</v>
      </c>
      <c r="F45" s="75" t="s">
        <v>362</v>
      </c>
      <c r="G45" s="95"/>
      <c r="H45" s="96"/>
      <c r="I45" s="96"/>
      <c r="J45" s="96"/>
      <c r="K45" s="96"/>
      <c r="L45" s="96"/>
      <c r="M45" s="96"/>
      <c r="N45" s="96"/>
      <c r="O45" s="96"/>
      <c r="P45" s="97"/>
      <c r="Q45" s="101"/>
      <c r="R45" s="102"/>
      <c r="S45" s="103"/>
      <c r="T45" s="101"/>
      <c r="U45" s="102"/>
      <c r="V45" s="103"/>
      <c r="W45" s="95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7"/>
      <c r="AP45" s="101"/>
      <c r="AQ45" s="102"/>
      <c r="AR45" s="102"/>
      <c r="AS45" s="102"/>
      <c r="AT45" s="102"/>
      <c r="AU45" s="102"/>
      <c r="AV45" s="102" t="s">
        <v>666</v>
      </c>
      <c r="AW45" s="102"/>
      <c r="AX45" s="102"/>
      <c r="AY45" s="103"/>
      <c r="AZ45" s="95"/>
      <c r="BA45" s="96"/>
      <c r="BB45" s="96"/>
      <c r="BC45" s="96"/>
      <c r="BD45" s="96"/>
      <c r="BE45" s="96"/>
      <c r="BF45" s="96"/>
      <c r="BG45" s="96"/>
      <c r="BH45" s="96"/>
      <c r="BI45" s="145"/>
      <c r="BJ45" s="97" t="s">
        <v>650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399</v>
      </c>
      <c r="D46" s="44">
        <v>3</v>
      </c>
      <c r="E46" s="40" t="s">
        <v>271</v>
      </c>
      <c r="F46" s="75" t="s">
        <v>363</v>
      </c>
      <c r="G46" s="95"/>
      <c r="H46" s="96"/>
      <c r="I46" s="96"/>
      <c r="J46" s="96"/>
      <c r="K46" s="96"/>
      <c r="L46" s="96"/>
      <c r="M46" s="96"/>
      <c r="N46" s="96"/>
      <c r="O46" s="96"/>
      <c r="P46" s="97"/>
      <c r="Q46" s="101"/>
      <c r="R46" s="102"/>
      <c r="S46" s="103"/>
      <c r="T46" s="101"/>
      <c r="U46" s="102"/>
      <c r="V46" s="103"/>
      <c r="W46" s="95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7"/>
      <c r="AP46" s="101"/>
      <c r="AQ46" s="102"/>
      <c r="AR46" s="102"/>
      <c r="AS46" s="102"/>
      <c r="AT46" s="102"/>
      <c r="AU46" s="102"/>
      <c r="AV46" s="102"/>
      <c r="AW46" s="102"/>
      <c r="AX46" s="102"/>
      <c r="AY46" s="103"/>
      <c r="AZ46" s="95"/>
      <c r="BA46" s="96"/>
      <c r="BB46" s="96"/>
      <c r="BC46" s="96"/>
      <c r="BD46" s="96"/>
      <c r="BE46" s="96"/>
      <c r="BF46" s="96"/>
      <c r="BG46" s="96"/>
      <c r="BH46" s="96"/>
      <c r="BI46" s="145"/>
      <c r="BJ46" s="97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400</v>
      </c>
      <c r="D47" s="44">
        <v>3</v>
      </c>
      <c r="E47" s="158" t="s">
        <v>272</v>
      </c>
      <c r="F47" s="159" t="s">
        <v>364</v>
      </c>
      <c r="G47" s="165" t="s">
        <v>113</v>
      </c>
      <c r="H47" s="162" t="s">
        <v>168</v>
      </c>
      <c r="I47" s="162" t="s">
        <v>849</v>
      </c>
      <c r="J47" s="162" t="s">
        <v>198</v>
      </c>
      <c r="K47" s="162"/>
      <c r="L47" s="162"/>
      <c r="M47" s="162"/>
      <c r="N47" s="162"/>
      <c r="O47" s="162"/>
      <c r="P47" s="163"/>
      <c r="Q47" s="160"/>
      <c r="R47" s="161"/>
      <c r="S47" s="164"/>
      <c r="T47" s="160" t="s">
        <v>822</v>
      </c>
      <c r="U47" s="161"/>
      <c r="V47" s="164"/>
      <c r="W47" s="165">
        <v>130</v>
      </c>
      <c r="X47" s="162">
        <v>134</v>
      </c>
      <c r="Y47" s="162">
        <v>141</v>
      </c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160" t="s">
        <v>137</v>
      </c>
      <c r="AQ47" s="161" t="s">
        <v>192</v>
      </c>
      <c r="AR47" s="161"/>
      <c r="AS47" s="161"/>
      <c r="AT47" s="161"/>
      <c r="AU47" s="161"/>
      <c r="AV47" s="161"/>
      <c r="AW47" s="161"/>
      <c r="AX47" s="161"/>
      <c r="AY47" s="164"/>
      <c r="AZ47" s="165" t="s">
        <v>191</v>
      </c>
      <c r="BA47" s="162"/>
      <c r="BB47" s="162"/>
      <c r="BC47" s="162"/>
      <c r="BD47" s="162"/>
      <c r="BE47" s="162"/>
      <c r="BF47" s="162"/>
      <c r="BG47" s="162"/>
      <c r="BH47" s="162"/>
      <c r="BI47" s="175"/>
      <c r="BJ47" s="163"/>
      <c r="BK47" s="85" t="s">
        <v>286</v>
      </c>
      <c r="BL47" s="11"/>
      <c r="BM47" s="85" t="s">
        <v>286</v>
      </c>
      <c r="BN47" s="85" t="s">
        <v>286</v>
      </c>
      <c r="BO47" s="11"/>
      <c r="BP47" s="11"/>
      <c r="BQ47" s="11"/>
      <c r="BR47" s="85" t="s">
        <v>286</v>
      </c>
    </row>
    <row r="48" spans="3:70" x14ac:dyDescent="0.25">
      <c r="C48" s="44" t="s">
        <v>401</v>
      </c>
      <c r="D48" s="44">
        <v>3</v>
      </c>
      <c r="E48" s="158" t="s">
        <v>279</v>
      </c>
      <c r="F48" s="159" t="s">
        <v>365</v>
      </c>
      <c r="G48" s="165" t="s">
        <v>113</v>
      </c>
      <c r="H48" s="162" t="s">
        <v>169</v>
      </c>
      <c r="I48" s="162" t="s">
        <v>185</v>
      </c>
      <c r="J48" s="162" t="s">
        <v>149</v>
      </c>
      <c r="K48" s="162" t="s">
        <v>152</v>
      </c>
      <c r="L48" s="162" t="s">
        <v>155</v>
      </c>
      <c r="M48" s="162" t="s">
        <v>158</v>
      </c>
      <c r="N48" s="162" t="s">
        <v>161</v>
      </c>
      <c r="O48" s="162"/>
      <c r="P48" s="163"/>
      <c r="Q48" s="160" t="s">
        <v>165</v>
      </c>
      <c r="R48" s="161"/>
      <c r="S48" s="164"/>
      <c r="T48" s="160" t="s">
        <v>655</v>
      </c>
      <c r="U48" s="161" t="s">
        <v>656</v>
      </c>
      <c r="V48" s="164"/>
      <c r="W48" s="162">
        <v>135</v>
      </c>
      <c r="X48" s="162">
        <v>77</v>
      </c>
      <c r="Y48" s="162">
        <v>176</v>
      </c>
      <c r="Z48" s="162">
        <v>80</v>
      </c>
      <c r="AA48" s="162">
        <v>81</v>
      </c>
      <c r="AB48" s="162">
        <v>82</v>
      </c>
      <c r="AC48" s="162">
        <v>83</v>
      </c>
      <c r="AD48" s="162">
        <v>84</v>
      </c>
      <c r="AE48" s="162">
        <v>78</v>
      </c>
      <c r="AF48" s="162">
        <v>79</v>
      </c>
      <c r="AG48" s="162">
        <v>96</v>
      </c>
      <c r="AH48" s="162">
        <v>98</v>
      </c>
      <c r="AI48" s="162">
        <v>100</v>
      </c>
      <c r="AJ48" s="162">
        <v>102</v>
      </c>
      <c r="AK48" s="162">
        <v>104</v>
      </c>
      <c r="AL48" s="162"/>
      <c r="AM48" s="162"/>
      <c r="AN48" s="162"/>
      <c r="AO48" s="163"/>
      <c r="AP48" s="160" t="s">
        <v>138</v>
      </c>
      <c r="AQ48" s="161" t="s">
        <v>125</v>
      </c>
      <c r="AR48" s="161"/>
      <c r="AS48" s="161"/>
      <c r="AT48" s="161"/>
      <c r="AU48" s="161"/>
      <c r="AV48" s="161"/>
      <c r="AW48" s="161"/>
      <c r="AX48" s="161"/>
      <c r="AY48" s="164"/>
      <c r="AZ48" s="165" t="s">
        <v>1044</v>
      </c>
      <c r="BA48" s="165" t="s">
        <v>120</v>
      </c>
      <c r="BB48" s="162" t="s">
        <v>121</v>
      </c>
      <c r="BC48" s="162" t="s">
        <v>122</v>
      </c>
      <c r="BD48" s="162" t="s">
        <v>123</v>
      </c>
      <c r="BE48" s="162" t="s">
        <v>124</v>
      </c>
      <c r="BF48" s="162" t="s">
        <v>141</v>
      </c>
      <c r="BG48" s="162"/>
      <c r="BH48" s="162"/>
      <c r="BI48" s="175"/>
      <c r="BJ48" s="163"/>
      <c r="BK48" s="85" t="s">
        <v>286</v>
      </c>
      <c r="BL48" s="11"/>
      <c r="BM48" s="85" t="s">
        <v>286</v>
      </c>
      <c r="BN48" s="85" t="s">
        <v>286</v>
      </c>
      <c r="BO48" s="11"/>
      <c r="BP48" s="11"/>
      <c r="BQ48" s="11"/>
      <c r="BR48" s="11"/>
    </row>
    <row r="49" spans="3:70" x14ac:dyDescent="0.25">
      <c r="C49" s="44" t="s">
        <v>402</v>
      </c>
      <c r="D49" s="44">
        <v>3</v>
      </c>
      <c r="E49" s="40" t="s">
        <v>273</v>
      </c>
      <c r="F49" s="75" t="s">
        <v>366</v>
      </c>
      <c r="G49" s="95"/>
      <c r="H49" s="96"/>
      <c r="I49" s="96"/>
      <c r="J49" s="96"/>
      <c r="K49" s="96"/>
      <c r="L49" s="96"/>
      <c r="M49" s="96"/>
      <c r="N49" s="96"/>
      <c r="O49" s="96"/>
      <c r="P49" s="97"/>
      <c r="Q49" s="101"/>
      <c r="R49" s="102"/>
      <c r="S49" s="103"/>
      <c r="T49" s="101"/>
      <c r="U49" s="102"/>
      <c r="V49" s="103"/>
      <c r="AM49" s="96"/>
      <c r="AN49" s="96"/>
      <c r="AO49" s="97"/>
      <c r="AP49" s="101"/>
      <c r="AQ49" s="102"/>
      <c r="AR49" s="102"/>
      <c r="AS49" s="102"/>
      <c r="AT49" s="102"/>
      <c r="AU49" s="102"/>
      <c r="AV49" s="102"/>
      <c r="AW49" s="102"/>
      <c r="AX49" s="102"/>
      <c r="AY49" s="103"/>
      <c r="AZ49" s="95"/>
      <c r="BA49" s="96"/>
      <c r="BB49" s="96"/>
      <c r="BC49" s="96"/>
      <c r="BD49" s="96"/>
      <c r="BE49" s="96"/>
      <c r="BF49" s="96"/>
      <c r="BG49" s="96"/>
      <c r="BH49" s="96"/>
      <c r="BI49" s="145"/>
      <c r="BJ49" s="97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224</v>
      </c>
      <c r="D50" s="44">
        <v>3</v>
      </c>
      <c r="E50" s="158" t="s">
        <v>274</v>
      </c>
      <c r="F50" s="159" t="s">
        <v>336</v>
      </c>
      <c r="G50" s="165" t="s">
        <v>307</v>
      </c>
      <c r="H50" s="162" t="s">
        <v>171</v>
      </c>
      <c r="I50" s="162" t="s">
        <v>182</v>
      </c>
      <c r="J50" s="162" t="s">
        <v>198</v>
      </c>
      <c r="K50" s="162"/>
      <c r="L50" s="162"/>
      <c r="M50" s="162"/>
      <c r="N50" s="162"/>
      <c r="O50" s="162"/>
      <c r="P50" s="163"/>
      <c r="Q50" s="160"/>
      <c r="R50" s="161"/>
      <c r="S50" s="164"/>
      <c r="T50" s="160" t="s">
        <v>822</v>
      </c>
      <c r="U50" s="161"/>
      <c r="V50" s="164"/>
      <c r="W50" s="165">
        <v>131</v>
      </c>
      <c r="X50" s="162">
        <v>134</v>
      </c>
      <c r="Y50" s="162">
        <v>141</v>
      </c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160" t="s">
        <v>137</v>
      </c>
      <c r="AQ50" s="161" t="s">
        <v>192</v>
      </c>
      <c r="AR50" s="161"/>
      <c r="AS50" s="161"/>
      <c r="AT50" s="161"/>
      <c r="AU50" s="161"/>
      <c r="AV50" s="161"/>
      <c r="AW50" s="161"/>
      <c r="AX50" s="161"/>
      <c r="AY50" s="164"/>
      <c r="AZ50" s="165" t="s">
        <v>191</v>
      </c>
      <c r="BA50" s="162"/>
      <c r="BB50" s="162"/>
      <c r="BC50" s="162"/>
      <c r="BD50" s="162"/>
      <c r="BE50" s="162"/>
      <c r="BF50" s="162"/>
      <c r="BG50" s="162"/>
      <c r="BH50" s="162"/>
      <c r="BI50" s="175"/>
      <c r="BJ50" s="163"/>
      <c r="BK50" s="85" t="s">
        <v>286</v>
      </c>
      <c r="BL50" s="11"/>
      <c r="BM50" s="85" t="s">
        <v>286</v>
      </c>
      <c r="BN50" s="85" t="s">
        <v>286</v>
      </c>
      <c r="BO50" s="11"/>
      <c r="BP50" s="11"/>
      <c r="BQ50" s="11"/>
      <c r="BR50" s="11"/>
    </row>
    <row r="51" spans="3:70" x14ac:dyDescent="0.25">
      <c r="C51" s="44" t="s">
        <v>225</v>
      </c>
      <c r="D51" s="44">
        <v>3</v>
      </c>
      <c r="E51" s="158" t="s">
        <v>280</v>
      </c>
      <c r="F51" s="159" t="s">
        <v>337</v>
      </c>
      <c r="G51" s="165" t="s">
        <v>307</v>
      </c>
      <c r="H51" s="162" t="s">
        <v>172</v>
      </c>
      <c r="I51" s="162" t="s">
        <v>186</v>
      </c>
      <c r="J51" s="162" t="s">
        <v>149</v>
      </c>
      <c r="K51" s="162" t="s">
        <v>152</v>
      </c>
      <c r="L51" s="162" t="s">
        <v>155</v>
      </c>
      <c r="M51" s="162" t="s">
        <v>158</v>
      </c>
      <c r="N51" s="162" t="s">
        <v>161</v>
      </c>
      <c r="O51" s="162"/>
      <c r="P51" s="163"/>
      <c r="Q51" s="160" t="s">
        <v>165</v>
      </c>
      <c r="R51" s="161"/>
      <c r="S51" s="164"/>
      <c r="T51" s="160" t="s">
        <v>655</v>
      </c>
      <c r="U51" s="161" t="s">
        <v>656</v>
      </c>
      <c r="V51" s="164"/>
      <c r="W51" s="162">
        <v>136</v>
      </c>
      <c r="X51" s="162">
        <v>77</v>
      </c>
      <c r="Y51" s="162">
        <v>176</v>
      </c>
      <c r="Z51" s="162">
        <v>80</v>
      </c>
      <c r="AA51" s="162">
        <v>81</v>
      </c>
      <c r="AB51" s="162">
        <v>82</v>
      </c>
      <c r="AC51" s="162">
        <v>83</v>
      </c>
      <c r="AD51" s="162">
        <v>84</v>
      </c>
      <c r="AE51" s="162">
        <v>78</v>
      </c>
      <c r="AF51" s="162">
        <v>79</v>
      </c>
      <c r="AG51" s="162">
        <v>96</v>
      </c>
      <c r="AH51" s="162">
        <v>98</v>
      </c>
      <c r="AI51" s="162">
        <v>100</v>
      </c>
      <c r="AJ51" s="162">
        <v>102</v>
      </c>
      <c r="AK51" s="162">
        <v>104</v>
      </c>
      <c r="AL51" s="162"/>
      <c r="AM51" s="162"/>
      <c r="AN51" s="162"/>
      <c r="AO51" s="163"/>
      <c r="AP51" s="160" t="s">
        <v>138</v>
      </c>
      <c r="AQ51" s="161" t="s">
        <v>125</v>
      </c>
      <c r="AR51" s="161"/>
      <c r="AS51" s="161"/>
      <c r="AT51" s="161"/>
      <c r="AU51" s="161"/>
      <c r="AV51" s="161"/>
      <c r="AW51" s="161"/>
      <c r="AX51" s="161"/>
      <c r="AY51" s="164"/>
      <c r="AZ51" s="165" t="s">
        <v>1044</v>
      </c>
      <c r="BA51" s="165" t="s">
        <v>120</v>
      </c>
      <c r="BB51" s="162" t="s">
        <v>121</v>
      </c>
      <c r="BC51" s="162" t="s">
        <v>122</v>
      </c>
      <c r="BD51" s="162" t="s">
        <v>123</v>
      </c>
      <c r="BE51" s="162" t="s">
        <v>124</v>
      </c>
      <c r="BF51" s="162" t="s">
        <v>141</v>
      </c>
      <c r="BG51" s="162"/>
      <c r="BH51" s="162"/>
      <c r="BI51" s="175"/>
      <c r="BJ51" s="163"/>
      <c r="BK51" s="85" t="s">
        <v>286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226</v>
      </c>
      <c r="D52" s="44">
        <v>3</v>
      </c>
      <c r="E52" s="40" t="s">
        <v>275</v>
      </c>
      <c r="F52" s="75" t="s">
        <v>338</v>
      </c>
      <c r="G52" s="95"/>
      <c r="H52" s="96"/>
      <c r="I52" s="96"/>
      <c r="J52" s="96"/>
      <c r="K52" s="96"/>
      <c r="L52" s="96"/>
      <c r="M52" s="96"/>
      <c r="N52" s="96"/>
      <c r="O52" s="96"/>
      <c r="P52" s="97"/>
      <c r="Q52" s="101"/>
      <c r="R52" s="102"/>
      <c r="S52" s="103"/>
      <c r="T52" s="101"/>
      <c r="U52" s="102"/>
      <c r="V52" s="103"/>
      <c r="W52" s="95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7"/>
      <c r="AP52" s="101"/>
      <c r="AQ52" s="102"/>
      <c r="AR52" s="102"/>
      <c r="AS52" s="102"/>
      <c r="AT52" s="102"/>
      <c r="AU52" s="102"/>
      <c r="AV52" s="102"/>
      <c r="AW52" s="102"/>
      <c r="AX52" s="102"/>
      <c r="AY52" s="103"/>
      <c r="AZ52" s="95"/>
      <c r="BA52" s="96"/>
      <c r="BB52" s="96"/>
      <c r="BC52" s="96"/>
      <c r="BD52" s="96"/>
      <c r="BE52" s="96"/>
      <c r="BF52" s="96"/>
      <c r="BG52" s="96"/>
      <c r="BH52" s="96"/>
      <c r="BI52" s="145"/>
      <c r="BJ52" s="97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227</v>
      </c>
      <c r="D53" s="44">
        <v>3</v>
      </c>
      <c r="E53" s="158" t="s">
        <v>276</v>
      </c>
      <c r="F53" s="159" t="s">
        <v>339</v>
      </c>
      <c r="G53" s="165" t="s">
        <v>308</v>
      </c>
      <c r="H53" s="162" t="s">
        <v>174</v>
      </c>
      <c r="I53" s="162" t="s">
        <v>183</v>
      </c>
      <c r="J53" s="162" t="s">
        <v>198</v>
      </c>
      <c r="K53" s="162"/>
      <c r="L53" s="162"/>
      <c r="M53" s="162"/>
      <c r="N53" s="162"/>
      <c r="O53" s="162"/>
      <c r="P53" s="163"/>
      <c r="Q53" s="160"/>
      <c r="R53" s="161"/>
      <c r="S53" s="164"/>
      <c r="T53" s="160" t="s">
        <v>822</v>
      </c>
      <c r="U53" s="161"/>
      <c r="V53" s="164"/>
      <c r="W53" s="165">
        <v>132</v>
      </c>
      <c r="X53" s="162">
        <v>134</v>
      </c>
      <c r="Y53" s="162">
        <v>141</v>
      </c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3"/>
      <c r="AP53" s="160" t="s">
        <v>137</v>
      </c>
      <c r="AQ53" s="161" t="s">
        <v>192</v>
      </c>
      <c r="AR53" s="161"/>
      <c r="AS53" s="161"/>
      <c r="AT53" s="161"/>
      <c r="AU53" s="161"/>
      <c r="AV53" s="161"/>
      <c r="AW53" s="161"/>
      <c r="AX53" s="161"/>
      <c r="AY53" s="164"/>
      <c r="AZ53" s="165" t="s">
        <v>191</v>
      </c>
      <c r="BA53" s="162"/>
      <c r="BB53" s="162"/>
      <c r="BC53" s="162"/>
      <c r="BD53" s="162"/>
      <c r="BE53" s="162"/>
      <c r="BF53" s="162"/>
      <c r="BG53" s="162"/>
      <c r="BH53" s="162"/>
      <c r="BI53" s="175"/>
      <c r="BJ53" s="163"/>
      <c r="BK53" s="85" t="s">
        <v>286</v>
      </c>
      <c r="BL53" s="11"/>
      <c r="BM53" s="85" t="s">
        <v>286</v>
      </c>
      <c r="BN53" s="85" t="s">
        <v>286</v>
      </c>
      <c r="BO53" s="11"/>
      <c r="BP53" s="11"/>
      <c r="BQ53" s="11"/>
      <c r="BR53" s="85" t="s">
        <v>286</v>
      </c>
    </row>
    <row r="54" spans="3:70" x14ac:dyDescent="0.25">
      <c r="C54" s="44" t="s">
        <v>228</v>
      </c>
      <c r="D54" s="44">
        <v>3</v>
      </c>
      <c r="E54" s="158" t="s">
        <v>281</v>
      </c>
      <c r="F54" s="159" t="s">
        <v>340</v>
      </c>
      <c r="G54" s="165" t="s">
        <v>308</v>
      </c>
      <c r="H54" s="162" t="s">
        <v>175</v>
      </c>
      <c r="I54" s="162" t="s">
        <v>187</v>
      </c>
      <c r="J54" s="162" t="s">
        <v>149</v>
      </c>
      <c r="K54" s="162" t="s">
        <v>152</v>
      </c>
      <c r="L54" s="162" t="s">
        <v>155</v>
      </c>
      <c r="M54" s="162" t="s">
        <v>158</v>
      </c>
      <c r="N54" s="162" t="s">
        <v>161</v>
      </c>
      <c r="O54" s="162"/>
      <c r="P54" s="163"/>
      <c r="Q54" s="160" t="s">
        <v>165</v>
      </c>
      <c r="R54" s="161"/>
      <c r="S54" s="164"/>
      <c r="T54" s="160" t="s">
        <v>655</v>
      </c>
      <c r="U54" s="161" t="s">
        <v>656</v>
      </c>
      <c r="V54" s="164"/>
      <c r="W54" s="162">
        <v>137</v>
      </c>
      <c r="X54" s="162">
        <v>77</v>
      </c>
      <c r="Y54" s="162">
        <v>176</v>
      </c>
      <c r="Z54" s="162">
        <v>80</v>
      </c>
      <c r="AA54" s="162">
        <v>81</v>
      </c>
      <c r="AB54" s="162">
        <v>82</v>
      </c>
      <c r="AC54" s="162">
        <v>83</v>
      </c>
      <c r="AD54" s="162">
        <v>84</v>
      </c>
      <c r="AE54" s="162">
        <v>78</v>
      </c>
      <c r="AF54" s="162">
        <v>79</v>
      </c>
      <c r="AG54" s="162">
        <v>96</v>
      </c>
      <c r="AH54" s="162">
        <v>98</v>
      </c>
      <c r="AI54" s="162">
        <v>100</v>
      </c>
      <c r="AJ54" s="162">
        <v>102</v>
      </c>
      <c r="AK54" s="162">
        <v>104</v>
      </c>
      <c r="AL54" s="162"/>
      <c r="AM54" s="162"/>
      <c r="AN54" s="162"/>
      <c r="AO54" s="163"/>
      <c r="AP54" s="160" t="s">
        <v>138</v>
      </c>
      <c r="AQ54" s="161" t="s">
        <v>125</v>
      </c>
      <c r="AR54" s="161"/>
      <c r="AS54" s="161"/>
      <c r="AT54" s="161"/>
      <c r="AU54" s="161"/>
      <c r="AV54" s="161"/>
      <c r="AW54" s="161"/>
      <c r="AX54" s="161"/>
      <c r="AY54" s="164"/>
      <c r="AZ54" s="165" t="s">
        <v>120</v>
      </c>
      <c r="BA54" s="162" t="s">
        <v>121</v>
      </c>
      <c r="BB54" s="162" t="s">
        <v>122</v>
      </c>
      <c r="BC54" s="162" t="s">
        <v>123</v>
      </c>
      <c r="BD54" s="162" t="s">
        <v>124</v>
      </c>
      <c r="BE54" s="162" t="s">
        <v>141</v>
      </c>
      <c r="BF54" s="162"/>
      <c r="BG54" s="162"/>
      <c r="BH54" s="162"/>
      <c r="BI54" s="175"/>
      <c r="BJ54" s="163"/>
      <c r="BK54" s="85" t="s">
        <v>286</v>
      </c>
      <c r="BL54" s="11"/>
      <c r="BM54" s="85" t="s">
        <v>286</v>
      </c>
      <c r="BN54" s="85" t="s">
        <v>286</v>
      </c>
      <c r="BO54" s="11"/>
      <c r="BP54" s="11"/>
      <c r="BQ54" s="11"/>
      <c r="BR54" s="85" t="s">
        <v>286</v>
      </c>
    </row>
    <row r="55" spans="3:70" x14ac:dyDescent="0.25">
      <c r="C55" s="44" t="s">
        <v>229</v>
      </c>
      <c r="D55" s="44">
        <v>3</v>
      </c>
      <c r="E55" s="158" t="s">
        <v>277</v>
      </c>
      <c r="F55" s="159" t="s">
        <v>341</v>
      </c>
      <c r="G55" s="165" t="s">
        <v>309</v>
      </c>
      <c r="H55" s="162" t="s">
        <v>177</v>
      </c>
      <c r="I55" s="162" t="s">
        <v>178</v>
      </c>
      <c r="J55" s="162" t="s">
        <v>181</v>
      </c>
      <c r="K55" s="162"/>
      <c r="L55" s="162"/>
      <c r="M55" s="162"/>
      <c r="N55" s="162"/>
      <c r="O55" s="162" t="s">
        <v>197</v>
      </c>
      <c r="P55" s="163"/>
      <c r="Q55" s="160"/>
      <c r="R55" s="161"/>
      <c r="S55" s="164"/>
      <c r="T55" s="160" t="s">
        <v>443</v>
      </c>
      <c r="U55" s="161"/>
      <c r="V55" s="164"/>
      <c r="W55" s="165">
        <v>128</v>
      </c>
      <c r="X55" s="162">
        <v>129</v>
      </c>
      <c r="Y55" s="162">
        <v>140</v>
      </c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160" t="s">
        <v>136</v>
      </c>
      <c r="AQ55" s="162" t="s">
        <v>190</v>
      </c>
      <c r="AR55" s="161"/>
      <c r="AS55" s="161"/>
      <c r="AT55" s="161"/>
      <c r="AU55" s="161"/>
      <c r="AV55" s="161"/>
      <c r="AW55" s="161"/>
      <c r="AX55" s="161"/>
      <c r="AY55" s="164"/>
      <c r="AZ55" s="165" t="s">
        <v>189</v>
      </c>
      <c r="BA55" s="162"/>
      <c r="BB55" s="162"/>
      <c r="BC55" s="162"/>
      <c r="BD55" s="162"/>
      <c r="BE55" s="162"/>
      <c r="BF55" s="162"/>
      <c r="BG55" s="162"/>
      <c r="BH55" s="162"/>
      <c r="BI55" s="175"/>
      <c r="BJ55" s="163"/>
      <c r="BK55" s="85" t="s">
        <v>286</v>
      </c>
      <c r="BL55" s="11"/>
      <c r="BM55" s="85" t="s">
        <v>286</v>
      </c>
      <c r="BN55" s="85" t="s">
        <v>286</v>
      </c>
      <c r="BO55" s="11"/>
      <c r="BP55" s="11"/>
      <c r="BQ55" s="11"/>
      <c r="BR55" s="85" t="s">
        <v>286</v>
      </c>
    </row>
    <row r="56" spans="3:70" x14ac:dyDescent="0.25">
      <c r="C56" s="44" t="s">
        <v>230</v>
      </c>
      <c r="D56" s="44">
        <v>3</v>
      </c>
      <c r="E56" s="158" t="s">
        <v>278</v>
      </c>
      <c r="F56" s="159" t="s">
        <v>342</v>
      </c>
      <c r="G56" s="165" t="s">
        <v>309</v>
      </c>
      <c r="H56" s="162" t="s">
        <v>179</v>
      </c>
      <c r="I56" s="162" t="s">
        <v>184</v>
      </c>
      <c r="J56" s="162" t="s">
        <v>198</v>
      </c>
      <c r="K56" s="162"/>
      <c r="L56" s="162"/>
      <c r="M56" s="162"/>
      <c r="N56" s="162"/>
      <c r="O56" s="162"/>
      <c r="P56" s="163"/>
      <c r="Q56" s="160"/>
      <c r="R56" s="161"/>
      <c r="S56" s="164"/>
      <c r="T56" s="160" t="s">
        <v>822</v>
      </c>
      <c r="U56" s="161"/>
      <c r="V56" s="164"/>
      <c r="W56" s="165">
        <v>133</v>
      </c>
      <c r="X56" s="162">
        <v>134</v>
      </c>
      <c r="Y56" s="162">
        <v>141</v>
      </c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160" t="s">
        <v>137</v>
      </c>
      <c r="AQ56" s="161" t="s">
        <v>192</v>
      </c>
      <c r="AR56" s="161"/>
      <c r="AS56" s="161"/>
      <c r="AT56" s="161"/>
      <c r="AU56" s="161"/>
      <c r="AV56" s="161"/>
      <c r="AW56" s="161"/>
      <c r="AX56" s="161"/>
      <c r="AY56" s="164"/>
      <c r="AZ56" s="165" t="s">
        <v>191</v>
      </c>
      <c r="BA56" s="162"/>
      <c r="BB56" s="162"/>
      <c r="BC56" s="162"/>
      <c r="BD56" s="162"/>
      <c r="BE56" s="162"/>
      <c r="BF56" s="162"/>
      <c r="BG56" s="162"/>
      <c r="BH56" s="162"/>
      <c r="BI56" s="175"/>
      <c r="BJ56" s="163"/>
      <c r="BK56" s="85" t="s">
        <v>286</v>
      </c>
      <c r="BL56" s="11"/>
      <c r="BM56" s="85" t="s">
        <v>286</v>
      </c>
      <c r="BN56" s="85" t="s">
        <v>286</v>
      </c>
      <c r="BO56" s="11"/>
      <c r="BP56" s="11"/>
      <c r="BQ56" s="11"/>
      <c r="BR56" s="85" t="s">
        <v>286</v>
      </c>
    </row>
    <row r="57" spans="3:70" x14ac:dyDescent="0.25">
      <c r="C57" s="44" t="s">
        <v>231</v>
      </c>
      <c r="D57" s="44">
        <v>3</v>
      </c>
      <c r="E57" s="158" t="s">
        <v>282</v>
      </c>
      <c r="F57" s="159" t="s">
        <v>343</v>
      </c>
      <c r="G57" s="165" t="s">
        <v>309</v>
      </c>
      <c r="H57" s="162" t="s">
        <v>180</v>
      </c>
      <c r="I57" s="162" t="s">
        <v>188</v>
      </c>
      <c r="J57" s="162" t="s">
        <v>149</v>
      </c>
      <c r="K57" s="162" t="s">
        <v>152</v>
      </c>
      <c r="L57" s="162" t="s">
        <v>155</v>
      </c>
      <c r="M57" s="162" t="s">
        <v>158</v>
      </c>
      <c r="N57" s="162" t="s">
        <v>161</v>
      </c>
      <c r="O57" s="162"/>
      <c r="P57" s="163"/>
      <c r="Q57" s="160" t="s">
        <v>165</v>
      </c>
      <c r="R57" s="161"/>
      <c r="S57" s="164"/>
      <c r="T57" s="160" t="s">
        <v>655</v>
      </c>
      <c r="U57" s="161" t="s">
        <v>656</v>
      </c>
      <c r="V57" s="164"/>
      <c r="W57" s="162">
        <v>138</v>
      </c>
      <c r="X57" s="162">
        <v>77</v>
      </c>
      <c r="Y57" s="162">
        <v>176</v>
      </c>
      <c r="Z57" s="162">
        <v>80</v>
      </c>
      <c r="AA57" s="162">
        <v>81</v>
      </c>
      <c r="AB57" s="162">
        <v>82</v>
      </c>
      <c r="AC57" s="162">
        <v>83</v>
      </c>
      <c r="AD57" s="162">
        <v>84</v>
      </c>
      <c r="AE57" s="162">
        <v>78</v>
      </c>
      <c r="AF57" s="162">
        <v>79</v>
      </c>
      <c r="AG57" s="162">
        <v>96</v>
      </c>
      <c r="AH57" s="162">
        <v>98</v>
      </c>
      <c r="AI57" s="162">
        <v>100</v>
      </c>
      <c r="AJ57" s="162">
        <v>102</v>
      </c>
      <c r="AK57" s="162">
        <v>104</v>
      </c>
      <c r="AL57" s="162"/>
      <c r="AM57" s="162"/>
      <c r="AN57" s="162"/>
      <c r="AO57" s="163"/>
      <c r="AP57" s="160" t="s">
        <v>138</v>
      </c>
      <c r="AQ57" s="161" t="s">
        <v>125</v>
      </c>
      <c r="AR57" s="161"/>
      <c r="AS57" s="161"/>
      <c r="AT57" s="161"/>
      <c r="AU57" s="161"/>
      <c r="AV57" s="161"/>
      <c r="AW57" s="161"/>
      <c r="AX57" s="161"/>
      <c r="AY57" s="164"/>
      <c r="AZ57" s="165" t="s">
        <v>1044</v>
      </c>
      <c r="BA57" s="165" t="s">
        <v>120</v>
      </c>
      <c r="BB57" s="162" t="s">
        <v>121</v>
      </c>
      <c r="BC57" s="162" t="s">
        <v>122</v>
      </c>
      <c r="BD57" s="162" t="s">
        <v>123</v>
      </c>
      <c r="BE57" s="162" t="s">
        <v>124</v>
      </c>
      <c r="BF57" s="162" t="s">
        <v>141</v>
      </c>
      <c r="BG57" s="162"/>
      <c r="BH57" s="162"/>
      <c r="BI57" s="175"/>
      <c r="BJ57" s="163"/>
      <c r="BK57" s="85" t="s">
        <v>286</v>
      </c>
      <c r="BL57" s="11"/>
      <c r="BM57" s="85" t="s">
        <v>286</v>
      </c>
      <c r="BN57" s="85" t="s">
        <v>286</v>
      </c>
      <c r="BO57" s="11"/>
      <c r="BP57" s="11"/>
      <c r="BQ57" s="11"/>
      <c r="BR57" s="85" t="s">
        <v>286</v>
      </c>
    </row>
    <row r="58" spans="3:70" x14ac:dyDescent="0.25">
      <c r="C58" s="44" t="s">
        <v>232</v>
      </c>
      <c r="D58" s="44">
        <v>3</v>
      </c>
      <c r="E58" s="158" t="s">
        <v>668</v>
      </c>
      <c r="F58" s="159" t="s">
        <v>667</v>
      </c>
      <c r="G58" s="165" t="s">
        <v>112</v>
      </c>
      <c r="H58" s="162" t="s">
        <v>160</v>
      </c>
      <c r="I58" s="162" t="s">
        <v>98</v>
      </c>
      <c r="J58" s="162" t="s">
        <v>100</v>
      </c>
      <c r="K58" s="162" t="s">
        <v>99</v>
      </c>
      <c r="L58" s="162" t="s">
        <v>101</v>
      </c>
      <c r="M58" s="162" t="s">
        <v>102</v>
      </c>
      <c r="N58" s="162" t="s">
        <v>205</v>
      </c>
      <c r="O58" s="162"/>
      <c r="P58" s="163" t="s">
        <v>146</v>
      </c>
      <c r="Q58" s="160"/>
      <c r="R58" s="161"/>
      <c r="S58" s="164"/>
      <c r="T58" s="160" t="s">
        <v>845</v>
      </c>
      <c r="U58" s="161" t="s">
        <v>846</v>
      </c>
      <c r="V58" s="164"/>
      <c r="W58" s="162">
        <v>114</v>
      </c>
      <c r="X58" s="162">
        <v>115</v>
      </c>
      <c r="Y58" s="162">
        <v>116</v>
      </c>
      <c r="Z58" s="162">
        <v>118</v>
      </c>
      <c r="AA58" s="162">
        <v>119</v>
      </c>
      <c r="AB58" s="162">
        <v>120</v>
      </c>
      <c r="AC58" s="162">
        <v>124</v>
      </c>
      <c r="AD58" s="162">
        <v>139</v>
      </c>
      <c r="AE58" s="162">
        <v>142</v>
      </c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160" t="s">
        <v>135</v>
      </c>
      <c r="AQ58" s="161" t="s">
        <v>139</v>
      </c>
      <c r="AR58" s="161" t="s">
        <v>194</v>
      </c>
      <c r="AS58" s="161"/>
      <c r="AT58" s="161"/>
      <c r="AU58" s="161"/>
      <c r="AV58" s="161"/>
      <c r="AW58" s="161"/>
      <c r="AX58" s="161"/>
      <c r="AY58" s="164"/>
      <c r="AZ58" s="165" t="s">
        <v>130</v>
      </c>
      <c r="BA58" s="162" t="s">
        <v>97</v>
      </c>
      <c r="BB58" s="162" t="s">
        <v>847</v>
      </c>
      <c r="BC58" s="162" t="s">
        <v>848</v>
      </c>
      <c r="BD58" s="162" t="s">
        <v>193</v>
      </c>
      <c r="BE58" s="162"/>
      <c r="BF58" s="162"/>
      <c r="BG58" s="162"/>
      <c r="BH58" s="162"/>
      <c r="BI58" s="175"/>
      <c r="BJ58" s="163" t="s">
        <v>650</v>
      </c>
      <c r="BK58" s="85" t="s">
        <v>286</v>
      </c>
      <c r="BL58" s="11"/>
      <c r="BM58" s="85" t="s">
        <v>286</v>
      </c>
      <c r="BN58" s="85" t="s">
        <v>286</v>
      </c>
      <c r="BO58" s="11"/>
      <c r="BP58" s="11"/>
      <c r="BQ58" s="11"/>
      <c r="BR58" s="85" t="s">
        <v>286</v>
      </c>
    </row>
    <row r="59" spans="3:70" x14ac:dyDescent="0.25">
      <c r="C59" s="44" t="s">
        <v>1032</v>
      </c>
      <c r="D59" s="44">
        <v>3</v>
      </c>
      <c r="E59" s="158" t="s">
        <v>1038</v>
      </c>
      <c r="F59" s="159" t="s">
        <v>1063</v>
      </c>
      <c r="G59" s="165" t="s">
        <v>95</v>
      </c>
      <c r="H59" s="162" t="s">
        <v>1048</v>
      </c>
      <c r="I59" s="162" t="s">
        <v>1049</v>
      </c>
      <c r="J59" s="162" t="s">
        <v>1057</v>
      </c>
      <c r="K59" s="162"/>
      <c r="L59" s="162"/>
      <c r="M59" s="162"/>
      <c r="N59" s="162"/>
      <c r="O59" s="162"/>
      <c r="P59" s="163" t="s">
        <v>1057</v>
      </c>
      <c r="Q59" s="160" t="s">
        <v>166</v>
      </c>
      <c r="R59" s="161"/>
      <c r="S59" s="164"/>
      <c r="T59" s="160" t="s">
        <v>442</v>
      </c>
      <c r="U59" s="161"/>
      <c r="V59" s="164"/>
      <c r="W59" s="201">
        <v>169</v>
      </c>
      <c r="X59" s="162">
        <v>170</v>
      </c>
      <c r="Y59" s="162">
        <v>171</v>
      </c>
      <c r="Z59" s="162">
        <v>172</v>
      </c>
      <c r="AA59" s="162">
        <v>140</v>
      </c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160" t="s">
        <v>1046</v>
      </c>
      <c r="AQ59" s="161"/>
      <c r="AR59" s="161"/>
      <c r="AS59" s="161"/>
      <c r="AT59" s="161"/>
      <c r="AU59" s="161"/>
      <c r="AV59" s="161" t="s">
        <v>1058</v>
      </c>
      <c r="AW59" s="161"/>
      <c r="AX59" s="161"/>
      <c r="AY59" s="164"/>
      <c r="AZ59" s="165" t="s">
        <v>1045</v>
      </c>
      <c r="BA59" s="162"/>
      <c r="BB59" s="162"/>
      <c r="BC59" s="162"/>
      <c r="BD59" s="162"/>
      <c r="BE59" s="162"/>
      <c r="BF59" s="162"/>
      <c r="BG59" s="162"/>
      <c r="BH59" s="162"/>
      <c r="BI59" s="175"/>
      <c r="BJ59" s="163" t="s">
        <v>1059</v>
      </c>
      <c r="BK59" s="85" t="s">
        <v>286</v>
      </c>
      <c r="BL59" s="11"/>
      <c r="BM59" s="85" t="s">
        <v>286</v>
      </c>
      <c r="BN59" s="85" t="s">
        <v>286</v>
      </c>
      <c r="BO59" s="11"/>
      <c r="BP59" s="11"/>
      <c r="BQ59" s="11"/>
      <c r="BR59" s="85" t="s">
        <v>286</v>
      </c>
    </row>
    <row r="60" spans="3:70" x14ac:dyDescent="0.25">
      <c r="C60" s="44" t="s">
        <v>1033</v>
      </c>
      <c r="D60" s="44">
        <v>3</v>
      </c>
      <c r="E60" s="158" t="s">
        <v>1039</v>
      </c>
      <c r="F60" s="159" t="s">
        <v>1060</v>
      </c>
      <c r="G60" s="165" t="s">
        <v>96</v>
      </c>
      <c r="H60" s="165" t="s">
        <v>1051</v>
      </c>
      <c r="I60" s="162" t="s">
        <v>1052</v>
      </c>
      <c r="J60" s="162" t="s">
        <v>1054</v>
      </c>
      <c r="K60" s="162" t="s">
        <v>197</v>
      </c>
      <c r="L60" s="162"/>
      <c r="M60" s="162"/>
      <c r="N60" s="162"/>
      <c r="O60" s="162"/>
      <c r="P60" s="163"/>
      <c r="Q60" s="160" t="s">
        <v>162</v>
      </c>
      <c r="R60" s="161"/>
      <c r="S60" s="164"/>
      <c r="T60" s="160" t="s">
        <v>443</v>
      </c>
      <c r="U60" s="161"/>
      <c r="V60" s="164"/>
      <c r="W60" s="201">
        <v>173</v>
      </c>
      <c r="X60" s="162">
        <v>129</v>
      </c>
      <c r="Y60" s="162">
        <v>156</v>
      </c>
      <c r="Z60" s="162">
        <v>143</v>
      </c>
      <c r="AA60" s="162">
        <v>146</v>
      </c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160" t="s">
        <v>136</v>
      </c>
      <c r="AQ60" s="161" t="s">
        <v>190</v>
      </c>
      <c r="AR60" s="161"/>
      <c r="AS60" s="161"/>
      <c r="AT60" s="161"/>
      <c r="AU60" s="161"/>
      <c r="AV60" s="161"/>
      <c r="AW60" s="161"/>
      <c r="AX60" s="161"/>
      <c r="AY60" s="164"/>
      <c r="AZ60" s="165" t="s">
        <v>189</v>
      </c>
      <c r="BA60" s="162"/>
      <c r="BB60" s="162"/>
      <c r="BC60" s="162"/>
      <c r="BD60" s="162"/>
      <c r="BE60" s="162"/>
      <c r="BF60" s="162"/>
      <c r="BG60" s="162"/>
      <c r="BH60" s="162"/>
      <c r="BI60" s="175"/>
      <c r="BJ60" s="163"/>
      <c r="BK60" s="85" t="s">
        <v>286</v>
      </c>
      <c r="BL60" s="11"/>
      <c r="BM60" s="85" t="s">
        <v>286</v>
      </c>
      <c r="BN60" s="85" t="s">
        <v>286</v>
      </c>
      <c r="BO60" s="11"/>
      <c r="BP60" s="11"/>
      <c r="BQ60" s="11"/>
      <c r="BR60" s="85" t="s">
        <v>286</v>
      </c>
    </row>
    <row r="61" spans="3:70" x14ac:dyDescent="0.25">
      <c r="C61" s="44" t="s">
        <v>1034</v>
      </c>
      <c r="D61" s="44">
        <v>3</v>
      </c>
      <c r="E61" s="158" t="s">
        <v>1040</v>
      </c>
      <c r="F61" s="159" t="s">
        <v>1061</v>
      </c>
      <c r="G61" s="165" t="s">
        <v>96</v>
      </c>
      <c r="H61" s="162" t="s">
        <v>1053</v>
      </c>
      <c r="I61" s="162" t="s">
        <v>1055</v>
      </c>
      <c r="J61" s="162" t="s">
        <v>198</v>
      </c>
      <c r="K61" s="162"/>
      <c r="L61" s="162"/>
      <c r="M61" s="162"/>
      <c r="N61" s="162"/>
      <c r="O61" s="162"/>
      <c r="P61" s="163"/>
      <c r="Q61" s="160" t="s">
        <v>163</v>
      </c>
      <c r="R61" s="161"/>
      <c r="S61" s="164"/>
      <c r="T61" s="160" t="s">
        <v>822</v>
      </c>
      <c r="U61" s="161"/>
      <c r="V61" s="164"/>
      <c r="W61" s="201">
        <v>174</v>
      </c>
      <c r="X61" s="162">
        <v>134</v>
      </c>
      <c r="Y61" s="162">
        <v>141</v>
      </c>
      <c r="Z61" s="162">
        <v>144</v>
      </c>
      <c r="AA61" s="162">
        <v>146</v>
      </c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3"/>
      <c r="AP61" s="160" t="s">
        <v>137</v>
      </c>
      <c r="AQ61" s="161" t="s">
        <v>192</v>
      </c>
      <c r="AR61" s="161"/>
      <c r="AS61" s="161"/>
      <c r="AT61" s="161"/>
      <c r="AU61" s="161"/>
      <c r="AV61" s="161"/>
      <c r="AW61" s="161"/>
      <c r="AX61" s="161"/>
      <c r="AY61" s="164"/>
      <c r="AZ61" s="165" t="s">
        <v>191</v>
      </c>
      <c r="BA61" s="162"/>
      <c r="BB61" s="162"/>
      <c r="BC61" s="162"/>
      <c r="BD61" s="162"/>
      <c r="BE61" s="162"/>
      <c r="BF61" s="162"/>
      <c r="BG61" s="162"/>
      <c r="BH61" s="162"/>
      <c r="BI61" s="175"/>
      <c r="BJ61" s="163"/>
      <c r="BK61" s="85" t="s">
        <v>286</v>
      </c>
      <c r="BL61" s="11"/>
      <c r="BM61" s="85" t="s">
        <v>286</v>
      </c>
      <c r="BN61" s="85" t="s">
        <v>286</v>
      </c>
      <c r="BO61" s="11"/>
      <c r="BP61" s="11"/>
      <c r="BQ61" s="11"/>
      <c r="BR61" s="85" t="s">
        <v>286</v>
      </c>
    </row>
    <row r="62" spans="3:70" x14ac:dyDescent="0.25">
      <c r="C62" s="44" t="s">
        <v>1035</v>
      </c>
      <c r="D62" s="44">
        <v>3</v>
      </c>
      <c r="E62" s="158" t="s">
        <v>1041</v>
      </c>
      <c r="F62" s="159" t="s">
        <v>1062</v>
      </c>
      <c r="G62" s="165" t="s">
        <v>96</v>
      </c>
      <c r="H62" s="162" t="s">
        <v>1050</v>
      </c>
      <c r="I62" s="162" t="s">
        <v>1056</v>
      </c>
      <c r="J62" s="162" t="s">
        <v>1047</v>
      </c>
      <c r="K62" s="162" t="s">
        <v>149</v>
      </c>
      <c r="L62" s="162" t="s">
        <v>152</v>
      </c>
      <c r="M62" s="162" t="s">
        <v>155</v>
      </c>
      <c r="N62" s="162" t="s">
        <v>158</v>
      </c>
      <c r="O62" s="162" t="s">
        <v>161</v>
      </c>
      <c r="P62" s="163"/>
      <c r="Q62" s="160" t="s">
        <v>165</v>
      </c>
      <c r="R62" s="161"/>
      <c r="S62" s="164"/>
      <c r="T62" s="160" t="s">
        <v>655</v>
      </c>
      <c r="U62" s="161" t="s">
        <v>656</v>
      </c>
      <c r="V62" s="164" t="s">
        <v>1064</v>
      </c>
      <c r="W62" s="201">
        <v>175</v>
      </c>
      <c r="X62" s="162">
        <v>77</v>
      </c>
      <c r="Y62" s="162">
        <v>176</v>
      </c>
      <c r="Z62" s="162">
        <v>80</v>
      </c>
      <c r="AA62" s="162">
        <v>81</v>
      </c>
      <c r="AB62" s="162">
        <v>82</v>
      </c>
      <c r="AC62" s="162">
        <v>83</v>
      </c>
      <c r="AD62" s="162">
        <v>84</v>
      </c>
      <c r="AE62" s="162">
        <v>78</v>
      </c>
      <c r="AF62" s="162">
        <v>79</v>
      </c>
      <c r="AG62" s="162">
        <v>96</v>
      </c>
      <c r="AH62" s="162">
        <v>98</v>
      </c>
      <c r="AI62" s="162">
        <v>100</v>
      </c>
      <c r="AJ62" s="162">
        <v>102</v>
      </c>
      <c r="AK62" s="162">
        <v>104</v>
      </c>
      <c r="AL62" s="162"/>
      <c r="AM62" s="162"/>
      <c r="AN62" s="162"/>
      <c r="AO62" s="163"/>
      <c r="AP62" s="160" t="s">
        <v>138</v>
      </c>
      <c r="AQ62" s="161" t="s">
        <v>125</v>
      </c>
      <c r="AR62" s="161"/>
      <c r="AS62" s="161"/>
      <c r="AT62" s="161"/>
      <c r="AU62" s="161"/>
      <c r="AV62" s="161"/>
      <c r="AW62" s="161"/>
      <c r="AX62" s="161"/>
      <c r="AY62" s="164"/>
      <c r="AZ62" s="165" t="s">
        <v>1044</v>
      </c>
      <c r="BA62" s="165" t="s">
        <v>120</v>
      </c>
      <c r="BB62" s="162" t="s">
        <v>121</v>
      </c>
      <c r="BC62" s="162" t="s">
        <v>122</v>
      </c>
      <c r="BD62" s="162" t="s">
        <v>123</v>
      </c>
      <c r="BE62" s="162" t="s">
        <v>124</v>
      </c>
      <c r="BF62" s="162" t="s">
        <v>141</v>
      </c>
      <c r="BG62" s="162"/>
      <c r="BH62" s="162"/>
      <c r="BI62" s="175"/>
      <c r="BJ62" s="163"/>
      <c r="BK62" s="85" t="s">
        <v>286</v>
      </c>
      <c r="BL62" s="11"/>
      <c r="BM62" s="85" t="s">
        <v>286</v>
      </c>
      <c r="BN62" s="85" t="s">
        <v>286</v>
      </c>
      <c r="BO62" s="11"/>
      <c r="BP62" s="11"/>
      <c r="BQ62" s="11"/>
      <c r="BR62" s="85" t="s">
        <v>286</v>
      </c>
    </row>
    <row r="63" spans="3:70" x14ac:dyDescent="0.25">
      <c r="C63" s="44" t="s">
        <v>1036</v>
      </c>
      <c r="D63" s="44">
        <v>3</v>
      </c>
      <c r="E63" s="40"/>
      <c r="F63" s="75"/>
      <c r="G63" s="95"/>
      <c r="H63" s="96"/>
      <c r="I63" s="96"/>
      <c r="J63" s="96"/>
      <c r="K63" s="96"/>
      <c r="L63" s="96"/>
      <c r="M63" s="96"/>
      <c r="N63" s="96"/>
      <c r="O63" s="96"/>
      <c r="P63" s="97"/>
      <c r="Q63" s="101"/>
      <c r="R63" s="102"/>
      <c r="S63" s="103"/>
      <c r="T63" s="101"/>
      <c r="U63" s="102"/>
      <c r="V63" s="103"/>
      <c r="W63" s="200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7"/>
      <c r="AP63" s="101"/>
      <c r="AQ63" s="102"/>
      <c r="AR63" s="102"/>
      <c r="AS63" s="102"/>
      <c r="AT63" s="102"/>
      <c r="AU63" s="102"/>
      <c r="AV63" s="102"/>
      <c r="AW63" s="102"/>
      <c r="AX63" s="102"/>
      <c r="AY63" s="103"/>
      <c r="AZ63" s="95"/>
      <c r="BA63" s="96"/>
      <c r="BB63" s="96"/>
      <c r="BC63" s="96"/>
      <c r="BD63" s="96"/>
      <c r="BE63" s="96"/>
      <c r="BF63" s="96"/>
      <c r="BG63" s="96"/>
      <c r="BH63" s="96"/>
      <c r="BI63" s="145"/>
      <c r="BJ63" s="97"/>
      <c r="BK63" s="85"/>
      <c r="BL63" s="11"/>
      <c r="BM63" s="85"/>
      <c r="BN63" s="85"/>
      <c r="BO63" s="11"/>
      <c r="BP63" s="11"/>
      <c r="BQ63" s="11"/>
      <c r="BR63" s="85"/>
    </row>
    <row r="64" spans="3:70" x14ac:dyDescent="0.25">
      <c r="C64" s="44" t="s">
        <v>1037</v>
      </c>
      <c r="D64" s="44">
        <v>3</v>
      </c>
      <c r="E64" s="40"/>
      <c r="F64" s="75"/>
      <c r="G64" s="95"/>
      <c r="H64" s="96"/>
      <c r="I64" s="96"/>
      <c r="J64" s="96"/>
      <c r="K64" s="96"/>
      <c r="L64" s="96"/>
      <c r="M64" s="96"/>
      <c r="N64" s="96"/>
      <c r="O64" s="96"/>
      <c r="P64" s="97"/>
      <c r="Q64" s="101"/>
      <c r="R64" s="102"/>
      <c r="S64" s="103"/>
      <c r="T64" s="101"/>
      <c r="U64" s="102"/>
      <c r="V64" s="103"/>
      <c r="W64" s="200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7"/>
      <c r="AP64" s="101"/>
      <c r="AQ64" s="102"/>
      <c r="AR64" s="102"/>
      <c r="AS64" s="102"/>
      <c r="AT64" s="102"/>
      <c r="AU64" s="102"/>
      <c r="AV64" s="102"/>
      <c r="AW64" s="102"/>
      <c r="AX64" s="102"/>
      <c r="AY64" s="103"/>
      <c r="AZ64" s="95"/>
      <c r="BA64" s="96"/>
      <c r="BB64" s="96"/>
      <c r="BC64" s="96"/>
      <c r="BD64" s="96"/>
      <c r="BE64" s="96"/>
      <c r="BF64" s="96"/>
      <c r="BG64" s="96"/>
      <c r="BH64" s="96"/>
      <c r="BI64" s="145"/>
      <c r="BJ64" s="97"/>
      <c r="BK64" s="85"/>
      <c r="BL64" s="11"/>
      <c r="BM64" s="85"/>
      <c r="BN64" s="85"/>
      <c r="BO64" s="11"/>
      <c r="BP64" s="11"/>
      <c r="BQ64" s="11"/>
      <c r="BR64" s="85"/>
    </row>
    <row r="65" spans="3:70" x14ac:dyDescent="0.25">
      <c r="C65" s="44" t="s">
        <v>403</v>
      </c>
      <c r="D65" s="44">
        <v>4</v>
      </c>
      <c r="E65" s="158" t="s">
        <v>321</v>
      </c>
      <c r="F65" s="159" t="s">
        <v>367</v>
      </c>
      <c r="G65" s="165" t="s">
        <v>301</v>
      </c>
      <c r="H65" s="162"/>
      <c r="I65" s="162"/>
      <c r="J65" s="162"/>
      <c r="K65" s="162"/>
      <c r="L65" s="162"/>
      <c r="M65" s="162"/>
      <c r="N65" s="162"/>
      <c r="O65" s="162"/>
      <c r="P65" s="163"/>
      <c r="Q65" s="171" t="s">
        <v>74</v>
      </c>
      <c r="R65" s="172"/>
      <c r="S65" s="173"/>
      <c r="T65" s="171" t="s">
        <v>834</v>
      </c>
      <c r="U65" s="172"/>
      <c r="V65" s="173"/>
      <c r="W65" s="168">
        <v>36</v>
      </c>
      <c r="X65" s="169">
        <v>37</v>
      </c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70"/>
      <c r="AP65" s="171" t="s">
        <v>48</v>
      </c>
      <c r="AQ65" s="172"/>
      <c r="AR65" s="172"/>
      <c r="AS65" s="172"/>
      <c r="AT65" s="172"/>
      <c r="AU65" s="172"/>
      <c r="AV65" s="172"/>
      <c r="AW65" s="172"/>
      <c r="AX65" s="172"/>
      <c r="AY65" s="173"/>
      <c r="AZ65" s="165"/>
      <c r="BA65" s="162"/>
      <c r="BB65" s="169"/>
      <c r="BC65" s="169"/>
      <c r="BD65" s="169"/>
      <c r="BE65" s="169"/>
      <c r="BF65" s="169"/>
      <c r="BG65" s="169"/>
      <c r="BH65" s="169"/>
      <c r="BI65" s="174"/>
      <c r="BJ65" s="170"/>
      <c r="BK65" s="85" t="s">
        <v>286</v>
      </c>
      <c r="BL65" s="11"/>
      <c r="BM65" s="85" t="s">
        <v>286</v>
      </c>
      <c r="BN65" s="85" t="s">
        <v>286</v>
      </c>
      <c r="BO65" s="11"/>
      <c r="BP65" s="11"/>
      <c r="BQ65" s="11"/>
      <c r="BR65" s="85" t="s">
        <v>286</v>
      </c>
    </row>
    <row r="66" spans="3:70" x14ac:dyDescent="0.25">
      <c r="C66" s="44" t="s">
        <v>404</v>
      </c>
      <c r="D66" s="44">
        <v>4</v>
      </c>
      <c r="E66" s="158" t="s">
        <v>243</v>
      </c>
      <c r="F66" s="159" t="s">
        <v>368</v>
      </c>
      <c r="G66" s="165" t="s">
        <v>301</v>
      </c>
      <c r="H66" s="162" t="s">
        <v>77</v>
      </c>
      <c r="I66" s="162"/>
      <c r="J66" s="162"/>
      <c r="K66" s="162"/>
      <c r="L66" s="162"/>
      <c r="M66" s="162"/>
      <c r="N66" s="162"/>
      <c r="O66" s="162"/>
      <c r="P66" s="163"/>
      <c r="Q66" s="171" t="s">
        <v>70</v>
      </c>
      <c r="R66" s="172"/>
      <c r="S66" s="173"/>
      <c r="T66" s="171" t="s">
        <v>258</v>
      </c>
      <c r="U66" s="172"/>
      <c r="V66" s="173"/>
      <c r="W66" s="168">
        <v>36</v>
      </c>
      <c r="X66" s="169">
        <v>1</v>
      </c>
      <c r="Y66" s="169">
        <v>2</v>
      </c>
      <c r="Z66" s="169">
        <v>3</v>
      </c>
      <c r="AA66" s="169">
        <v>4</v>
      </c>
      <c r="AB66" s="169">
        <v>6</v>
      </c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70"/>
      <c r="AP66" s="171" t="s">
        <v>48</v>
      </c>
      <c r="AQ66" s="172" t="s">
        <v>58</v>
      </c>
      <c r="AR66" s="172"/>
      <c r="AS66" s="172"/>
      <c r="AT66" s="172"/>
      <c r="AU66" s="172"/>
      <c r="AV66" s="172"/>
      <c r="AW66" s="172"/>
      <c r="AX66" s="172"/>
      <c r="AY66" s="173"/>
      <c r="AZ66" s="165" t="s">
        <v>59</v>
      </c>
      <c r="BA66" s="162" t="s">
        <v>835</v>
      </c>
      <c r="BB66" s="169" t="s">
        <v>836</v>
      </c>
      <c r="BC66" s="169"/>
      <c r="BD66" s="169"/>
      <c r="BE66" s="169"/>
      <c r="BF66" s="169"/>
      <c r="BG66" s="169"/>
      <c r="BH66" s="169"/>
      <c r="BI66" s="174"/>
      <c r="BJ66" s="170"/>
      <c r="BK66" s="85" t="s">
        <v>286</v>
      </c>
      <c r="BL66" s="11"/>
      <c r="BM66" s="85" t="s">
        <v>286</v>
      </c>
      <c r="BN66" s="85" t="s">
        <v>286</v>
      </c>
      <c r="BO66" s="11"/>
      <c r="BP66" s="11"/>
      <c r="BQ66" s="11"/>
      <c r="BR66" s="85" t="s">
        <v>286</v>
      </c>
    </row>
    <row r="67" spans="3:70" x14ac:dyDescent="0.25">
      <c r="C67" s="44" t="s">
        <v>405</v>
      </c>
      <c r="D67" s="44">
        <v>4</v>
      </c>
      <c r="E67" s="158" t="s">
        <v>322</v>
      </c>
      <c r="F67" s="159" t="s">
        <v>369</v>
      </c>
      <c r="G67" s="165" t="s">
        <v>302</v>
      </c>
      <c r="H67" s="162" t="s">
        <v>81</v>
      </c>
      <c r="I67" s="162" t="s">
        <v>78</v>
      </c>
      <c r="J67" s="162"/>
      <c r="K67" s="162"/>
      <c r="L67" s="162"/>
      <c r="M67" s="162"/>
      <c r="N67" s="162"/>
      <c r="O67" s="162"/>
      <c r="P67" s="163"/>
      <c r="Q67" s="171" t="s">
        <v>72</v>
      </c>
      <c r="R67" s="172" t="s">
        <v>74</v>
      </c>
      <c r="S67" s="173"/>
      <c r="T67" s="171" t="s">
        <v>840</v>
      </c>
      <c r="U67" s="172" t="s">
        <v>834</v>
      </c>
      <c r="V67" s="173"/>
      <c r="W67" s="168">
        <v>21</v>
      </c>
      <c r="X67" s="169">
        <v>20</v>
      </c>
      <c r="Y67" s="169">
        <v>31</v>
      </c>
      <c r="Z67" s="169">
        <v>34</v>
      </c>
      <c r="AA67" s="169">
        <v>37</v>
      </c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70"/>
      <c r="AP67" s="186" t="s">
        <v>50</v>
      </c>
      <c r="AQ67" s="171"/>
      <c r="AR67" s="172"/>
      <c r="AS67" s="172"/>
      <c r="AT67" s="172"/>
      <c r="AU67" s="172"/>
      <c r="AV67" s="172"/>
      <c r="AW67" s="172"/>
      <c r="AX67" s="172"/>
      <c r="AY67" s="173"/>
      <c r="AZ67" s="165" t="s">
        <v>844</v>
      </c>
      <c r="BA67" s="162" t="s">
        <v>843</v>
      </c>
      <c r="BB67" s="169" t="s">
        <v>842</v>
      </c>
      <c r="BC67" s="169" t="s">
        <v>841</v>
      </c>
      <c r="BD67" s="169"/>
      <c r="BE67" s="169"/>
      <c r="BF67" s="169"/>
      <c r="BG67" s="169"/>
      <c r="BH67" s="169"/>
      <c r="BI67" s="174"/>
      <c r="BJ67" s="170"/>
      <c r="BK67" s="85" t="s">
        <v>286</v>
      </c>
      <c r="BL67" s="11"/>
      <c r="BM67" s="85" t="s">
        <v>286</v>
      </c>
      <c r="BN67" s="85" t="s">
        <v>286</v>
      </c>
      <c r="BO67" s="11"/>
      <c r="BP67" s="11"/>
      <c r="BQ67" s="11"/>
      <c r="BR67" s="85" t="s">
        <v>286</v>
      </c>
    </row>
    <row r="68" spans="3:70" x14ac:dyDescent="0.25">
      <c r="C68" s="44" t="s">
        <v>406</v>
      </c>
      <c r="D68" s="44">
        <v>4</v>
      </c>
      <c r="E68" s="158" t="s">
        <v>323</v>
      </c>
      <c r="F68" s="159" t="s">
        <v>370</v>
      </c>
      <c r="G68" s="165" t="s">
        <v>301</v>
      </c>
      <c r="H68" s="162" t="s">
        <v>77</v>
      </c>
      <c r="I68" s="162"/>
      <c r="J68" s="162"/>
      <c r="K68" s="162"/>
      <c r="L68" s="162"/>
      <c r="M68" s="162"/>
      <c r="N68" s="162"/>
      <c r="O68" s="162"/>
      <c r="P68" s="163"/>
      <c r="Q68" s="171" t="s">
        <v>70</v>
      </c>
      <c r="R68" s="172"/>
      <c r="S68" s="173"/>
      <c r="T68" s="171" t="s">
        <v>258</v>
      </c>
      <c r="U68" s="172"/>
      <c r="V68" s="173"/>
      <c r="W68" s="168">
        <v>36</v>
      </c>
      <c r="X68" s="169">
        <v>1</v>
      </c>
      <c r="Y68" s="169">
        <v>2</v>
      </c>
      <c r="Z68" s="169">
        <v>3</v>
      </c>
      <c r="AA68" s="169">
        <v>4</v>
      </c>
      <c r="AB68" s="169">
        <v>6</v>
      </c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70"/>
      <c r="AP68" s="171" t="s">
        <v>48</v>
      </c>
      <c r="AQ68" s="172" t="s">
        <v>58</v>
      </c>
      <c r="AR68" s="172"/>
      <c r="AS68" s="172"/>
      <c r="AT68" s="172"/>
      <c r="AU68" s="172"/>
      <c r="AV68" s="172"/>
      <c r="AW68" s="172"/>
      <c r="AX68" s="172"/>
      <c r="AY68" s="173"/>
      <c r="AZ68" s="165" t="s">
        <v>59</v>
      </c>
      <c r="BA68" s="162" t="s">
        <v>835</v>
      </c>
      <c r="BB68" s="169" t="s">
        <v>836</v>
      </c>
      <c r="BC68" s="169"/>
      <c r="BD68" s="169"/>
      <c r="BE68" s="169"/>
      <c r="BF68" s="169"/>
      <c r="BG68" s="169"/>
      <c r="BH68" s="169"/>
      <c r="BI68" s="174"/>
      <c r="BJ68" s="170"/>
      <c r="BK68" s="85" t="s">
        <v>286</v>
      </c>
      <c r="BL68" s="11"/>
      <c r="BM68" s="85" t="s">
        <v>286</v>
      </c>
      <c r="BN68" s="85" t="s">
        <v>286</v>
      </c>
      <c r="BO68" s="11"/>
      <c r="BP68" s="11"/>
      <c r="BQ68" s="11"/>
      <c r="BR68" s="85" t="s">
        <v>286</v>
      </c>
    </row>
    <row r="69" spans="3:70" x14ac:dyDescent="0.25">
      <c r="C69" s="44" t="s">
        <v>407</v>
      </c>
      <c r="D69" s="44">
        <v>4</v>
      </c>
      <c r="E69" s="158" t="s">
        <v>324</v>
      </c>
      <c r="F69" s="159" t="s">
        <v>371</v>
      </c>
      <c r="G69" s="165" t="s">
        <v>303</v>
      </c>
      <c r="H69" s="162" t="s">
        <v>76</v>
      </c>
      <c r="I69" s="162"/>
      <c r="J69" s="162"/>
      <c r="K69" s="162"/>
      <c r="L69" s="162"/>
      <c r="M69" s="162"/>
      <c r="N69" s="162"/>
      <c r="O69" s="162"/>
      <c r="P69" s="163"/>
      <c r="Q69" s="171" t="s">
        <v>285</v>
      </c>
      <c r="R69" s="172"/>
      <c r="S69" s="173"/>
      <c r="T69" s="171" t="s">
        <v>445</v>
      </c>
      <c r="U69" s="172"/>
      <c r="V69" s="173"/>
      <c r="W69" s="168">
        <v>9</v>
      </c>
      <c r="X69" s="169">
        <v>7</v>
      </c>
      <c r="Y69" s="169">
        <v>10</v>
      </c>
      <c r="Z69" s="169">
        <v>14</v>
      </c>
      <c r="AA69" s="169">
        <v>153</v>
      </c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70"/>
      <c r="AP69" s="171" t="s">
        <v>56</v>
      </c>
      <c r="AQ69" s="172" t="s">
        <v>62</v>
      </c>
      <c r="AR69" s="172" t="s">
        <v>54</v>
      </c>
      <c r="AS69" s="172"/>
      <c r="AT69" s="172"/>
      <c r="AU69" s="172"/>
      <c r="AV69" s="172"/>
      <c r="AW69" s="172"/>
      <c r="AX69" s="172"/>
      <c r="AY69" s="173"/>
      <c r="AZ69" s="165" t="s">
        <v>60</v>
      </c>
      <c r="BA69" s="162" t="s">
        <v>446</v>
      </c>
      <c r="BB69" s="169" t="s">
        <v>447</v>
      </c>
      <c r="BC69" s="169" t="s">
        <v>448</v>
      </c>
      <c r="BD69" s="169" t="s">
        <v>449</v>
      </c>
      <c r="BE69" s="169" t="s">
        <v>450</v>
      </c>
      <c r="BF69" s="169"/>
      <c r="BG69" s="169"/>
      <c r="BH69" s="169"/>
      <c r="BI69" s="174"/>
      <c r="BJ69" s="170" t="s">
        <v>654</v>
      </c>
      <c r="BK69" s="85" t="s">
        <v>286</v>
      </c>
      <c r="BL69" s="11"/>
      <c r="BM69" s="85" t="s">
        <v>286</v>
      </c>
      <c r="BN69" s="85" t="s">
        <v>286</v>
      </c>
      <c r="BO69" s="11"/>
      <c r="BP69" s="11"/>
      <c r="BQ69" s="11"/>
      <c r="BR69" s="85" t="s">
        <v>286</v>
      </c>
    </row>
    <row r="70" spans="3:70" x14ac:dyDescent="0.25">
      <c r="C70" s="44" t="s">
        <v>408</v>
      </c>
      <c r="D70" s="44">
        <v>4</v>
      </c>
      <c r="E70" s="158" t="s">
        <v>265</v>
      </c>
      <c r="F70" s="159" t="s">
        <v>372</v>
      </c>
      <c r="G70" s="168" t="s">
        <v>304</v>
      </c>
      <c r="H70" s="169"/>
      <c r="I70" s="169"/>
      <c r="J70" s="169"/>
      <c r="K70" s="169"/>
      <c r="L70" s="169"/>
      <c r="M70" s="169"/>
      <c r="N70" s="169"/>
      <c r="O70" s="169"/>
      <c r="P70" s="170"/>
      <c r="Q70" s="171" t="s">
        <v>872</v>
      </c>
      <c r="R70" s="172"/>
      <c r="S70" s="173"/>
      <c r="T70" s="171" t="s">
        <v>873</v>
      </c>
      <c r="U70" s="172"/>
      <c r="V70" s="173"/>
      <c r="W70" s="168">
        <v>22</v>
      </c>
      <c r="X70" s="169">
        <v>23</v>
      </c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70"/>
      <c r="AP70" s="171" t="s">
        <v>51</v>
      </c>
      <c r="AQ70" s="172"/>
      <c r="AR70" s="172"/>
      <c r="AS70" s="172"/>
      <c r="AT70" s="172"/>
      <c r="AU70" s="172"/>
      <c r="AV70" s="172"/>
      <c r="AW70" s="172"/>
      <c r="AX70" s="172"/>
      <c r="AY70" s="173"/>
      <c r="AZ70" s="165" t="s">
        <v>874</v>
      </c>
      <c r="BA70" s="162" t="s">
        <v>875</v>
      </c>
      <c r="BB70" s="169"/>
      <c r="BC70" s="169"/>
      <c r="BD70" s="169"/>
      <c r="BE70" s="169"/>
      <c r="BF70" s="169"/>
      <c r="BG70" s="169"/>
      <c r="BH70" s="169"/>
      <c r="BI70" s="174"/>
      <c r="BJ70" s="170"/>
      <c r="BK70" s="85" t="s">
        <v>286</v>
      </c>
      <c r="BL70" s="11"/>
      <c r="BM70" s="85" t="s">
        <v>286</v>
      </c>
      <c r="BN70" s="85" t="s">
        <v>286</v>
      </c>
      <c r="BO70" s="11"/>
      <c r="BP70" s="11"/>
      <c r="BQ70" s="11"/>
      <c r="BR70" s="11"/>
    </row>
    <row r="71" spans="3:70" x14ac:dyDescent="0.25">
      <c r="C71" s="44" t="s">
        <v>409</v>
      </c>
      <c r="D71" s="44">
        <v>4</v>
      </c>
      <c r="E71" s="177" t="s">
        <v>41</v>
      </c>
      <c r="F71" s="178" t="s">
        <v>373</v>
      </c>
      <c r="G71" s="179"/>
      <c r="H71" s="180"/>
      <c r="I71" s="180"/>
      <c r="J71" s="180"/>
      <c r="K71" s="180"/>
      <c r="L71" s="180"/>
      <c r="M71" s="180"/>
      <c r="N71" s="180"/>
      <c r="O71" s="180"/>
      <c r="P71" s="181"/>
      <c r="Q71" s="182"/>
      <c r="R71" s="183"/>
      <c r="S71" s="184"/>
      <c r="T71" s="182"/>
      <c r="U71" s="183"/>
      <c r="V71" s="184"/>
      <c r="W71" s="179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1"/>
      <c r="AP71" s="182"/>
      <c r="AQ71" s="183"/>
      <c r="AR71" s="183"/>
      <c r="AS71" s="183"/>
      <c r="AT71" s="183"/>
      <c r="AU71" s="183"/>
      <c r="AV71" s="183"/>
      <c r="AW71" s="183"/>
      <c r="AX71" s="183"/>
      <c r="AY71" s="184"/>
      <c r="AZ71" s="179"/>
      <c r="BA71" s="180"/>
      <c r="BB71" s="180"/>
      <c r="BC71" s="180"/>
      <c r="BD71" s="180"/>
      <c r="BE71" s="180"/>
      <c r="BF71" s="180"/>
      <c r="BG71" s="180"/>
      <c r="BH71" s="180"/>
      <c r="BI71" s="185"/>
      <c r="BJ71" s="181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410</v>
      </c>
      <c r="D72" s="44">
        <v>4</v>
      </c>
      <c r="E72" s="177" t="s">
        <v>41</v>
      </c>
      <c r="F72" s="178" t="s">
        <v>374</v>
      </c>
      <c r="G72" s="179"/>
      <c r="H72" s="180"/>
      <c r="I72" s="180"/>
      <c r="J72" s="180"/>
      <c r="K72" s="180"/>
      <c r="L72" s="180"/>
      <c r="M72" s="180"/>
      <c r="N72" s="180"/>
      <c r="O72" s="180"/>
      <c r="P72" s="181"/>
      <c r="Q72" s="182"/>
      <c r="R72" s="183"/>
      <c r="S72" s="184"/>
      <c r="T72" s="182"/>
      <c r="U72" s="183"/>
      <c r="V72" s="184"/>
      <c r="W72" s="179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1"/>
      <c r="AP72" s="182"/>
      <c r="AQ72" s="183"/>
      <c r="AR72" s="183"/>
      <c r="AS72" s="183"/>
      <c r="AT72" s="183"/>
      <c r="AU72" s="183"/>
      <c r="AV72" s="183"/>
      <c r="AW72" s="183"/>
      <c r="AX72" s="183"/>
      <c r="AY72" s="184"/>
      <c r="AZ72" s="179"/>
      <c r="BA72" s="180"/>
      <c r="BB72" s="180"/>
      <c r="BC72" s="180"/>
      <c r="BD72" s="180"/>
      <c r="BE72" s="180"/>
      <c r="BF72" s="180"/>
      <c r="BG72" s="180"/>
      <c r="BH72" s="180"/>
      <c r="BI72" s="185"/>
      <c r="BJ72" s="181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411</v>
      </c>
      <c r="D73" s="44">
        <v>4</v>
      </c>
      <c r="E73" s="177" t="s">
        <v>41</v>
      </c>
      <c r="F73" s="178" t="s">
        <v>375</v>
      </c>
      <c r="G73" s="179"/>
      <c r="H73" s="180"/>
      <c r="I73" s="180"/>
      <c r="J73" s="180"/>
      <c r="K73" s="180"/>
      <c r="L73" s="180"/>
      <c r="M73" s="180"/>
      <c r="N73" s="180"/>
      <c r="O73" s="180"/>
      <c r="P73" s="181"/>
      <c r="Q73" s="182"/>
      <c r="R73" s="183"/>
      <c r="S73" s="184"/>
      <c r="T73" s="182"/>
      <c r="U73" s="183"/>
      <c r="V73" s="184"/>
      <c r="W73" s="179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L73" s="180"/>
      <c r="AM73" s="180"/>
      <c r="AN73" s="180"/>
      <c r="AO73" s="181"/>
      <c r="AP73" s="182"/>
      <c r="AQ73" s="183"/>
      <c r="AR73" s="183"/>
      <c r="AS73" s="183"/>
      <c r="AT73" s="183"/>
      <c r="AU73" s="183"/>
      <c r="AV73" s="183"/>
      <c r="AW73" s="183"/>
      <c r="AX73" s="183"/>
      <c r="AY73" s="184"/>
      <c r="AZ73" s="179"/>
      <c r="BA73" s="180"/>
      <c r="BB73" s="180"/>
      <c r="BC73" s="180"/>
      <c r="BD73" s="180"/>
      <c r="BE73" s="180"/>
      <c r="BF73" s="180"/>
      <c r="BG73" s="180"/>
      <c r="BH73" s="180"/>
      <c r="BI73" s="185"/>
      <c r="BJ73" s="181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312</v>
      </c>
      <c r="D74" s="44">
        <v>4</v>
      </c>
      <c r="E74" s="177" t="s">
        <v>41</v>
      </c>
      <c r="F74" s="178" t="s">
        <v>344</v>
      </c>
      <c r="G74" s="179"/>
      <c r="H74" s="180"/>
      <c r="I74" s="180"/>
      <c r="J74" s="180"/>
      <c r="K74" s="180"/>
      <c r="L74" s="180"/>
      <c r="M74" s="180"/>
      <c r="N74" s="180"/>
      <c r="O74" s="180"/>
      <c r="P74" s="181"/>
      <c r="Q74" s="182"/>
      <c r="R74" s="183"/>
      <c r="S74" s="184"/>
      <c r="T74" s="182"/>
      <c r="U74" s="183"/>
      <c r="V74" s="184"/>
      <c r="W74" s="179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1"/>
      <c r="AP74" s="182"/>
      <c r="AQ74" s="183"/>
      <c r="AR74" s="183"/>
      <c r="AS74" s="183"/>
      <c r="AT74" s="183"/>
      <c r="AU74" s="183"/>
      <c r="AV74" s="183"/>
      <c r="AW74" s="183"/>
      <c r="AX74" s="183"/>
      <c r="AY74" s="184"/>
      <c r="AZ74" s="179"/>
      <c r="BA74" s="180"/>
      <c r="BB74" s="180"/>
      <c r="BC74" s="180"/>
      <c r="BD74" s="180"/>
      <c r="BE74" s="180"/>
      <c r="BF74" s="180"/>
      <c r="BG74" s="180"/>
      <c r="BH74" s="180"/>
      <c r="BI74" s="185"/>
      <c r="BJ74" s="181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5"/>
      <c r="G75" s="98"/>
      <c r="H75" s="99"/>
      <c r="I75" s="99"/>
      <c r="J75" s="99"/>
      <c r="K75" s="99"/>
      <c r="L75" s="99"/>
      <c r="M75" s="99"/>
      <c r="N75" s="99"/>
      <c r="O75" s="99"/>
      <c r="P75" s="100"/>
      <c r="Q75" s="104"/>
      <c r="R75" s="105"/>
      <c r="S75" s="106"/>
      <c r="T75" s="104"/>
      <c r="U75" s="105"/>
      <c r="V75" s="106"/>
      <c r="W75" s="98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100"/>
      <c r="AP75" s="104"/>
      <c r="AQ75" s="105"/>
      <c r="AR75" s="105"/>
      <c r="AS75" s="105"/>
      <c r="AT75" s="105"/>
      <c r="AU75" s="105"/>
      <c r="AV75" s="105"/>
      <c r="AW75" s="105"/>
      <c r="AX75" s="105"/>
      <c r="AY75" s="106"/>
      <c r="AZ75" s="98"/>
      <c r="BA75" s="99"/>
      <c r="BB75" s="99"/>
      <c r="BC75" s="99"/>
      <c r="BD75" s="99"/>
      <c r="BE75" s="99"/>
      <c r="BF75" s="99"/>
      <c r="BG75" s="99"/>
      <c r="BH75" s="99"/>
      <c r="BI75" s="147"/>
      <c r="BJ75" s="100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5"/>
      <c r="G76" s="98"/>
      <c r="H76" s="99"/>
      <c r="I76" s="99"/>
      <c r="J76" s="99"/>
      <c r="K76" s="99"/>
      <c r="L76" s="99"/>
      <c r="M76" s="99"/>
      <c r="N76" s="99"/>
      <c r="O76" s="99"/>
      <c r="P76" s="100"/>
      <c r="Q76" s="104"/>
      <c r="R76" s="105"/>
      <c r="S76" s="106"/>
      <c r="T76" s="104"/>
      <c r="U76" s="105"/>
      <c r="V76" s="106"/>
      <c r="W76" s="98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100"/>
      <c r="AP76" s="104"/>
      <c r="AQ76" s="105"/>
      <c r="AR76" s="105"/>
      <c r="AS76" s="105"/>
      <c r="AT76" s="105"/>
      <c r="AU76" s="105"/>
      <c r="AV76" s="105"/>
      <c r="AW76" s="105"/>
      <c r="AX76" s="105"/>
      <c r="AY76" s="106"/>
      <c r="AZ76" s="98"/>
      <c r="BA76" s="99"/>
      <c r="BB76" s="99"/>
      <c r="BC76" s="99"/>
      <c r="BD76" s="99"/>
      <c r="BE76" s="99"/>
      <c r="BF76" s="99"/>
      <c r="BG76" s="99"/>
      <c r="BH76" s="99"/>
      <c r="BI76" s="147"/>
      <c r="BJ76" s="100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5"/>
      <c r="G77" s="98"/>
      <c r="H77" s="99"/>
      <c r="I77" s="99"/>
      <c r="J77" s="99"/>
      <c r="K77" s="99"/>
      <c r="L77" s="99"/>
      <c r="M77" s="99"/>
      <c r="N77" s="99"/>
      <c r="O77" s="99"/>
      <c r="P77" s="100"/>
      <c r="Q77" s="104"/>
      <c r="R77" s="105"/>
      <c r="S77" s="106"/>
      <c r="T77" s="104"/>
      <c r="U77" s="105"/>
      <c r="V77" s="106"/>
      <c r="W77" s="98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100"/>
      <c r="AP77" s="104"/>
      <c r="AQ77" s="105"/>
      <c r="AR77" s="105"/>
      <c r="AS77" s="105"/>
      <c r="AT77" s="105"/>
      <c r="AU77" s="105"/>
      <c r="AV77" s="105"/>
      <c r="AW77" s="105"/>
      <c r="AX77" s="105"/>
      <c r="AY77" s="106"/>
      <c r="AZ77" s="98"/>
      <c r="BA77" s="99"/>
      <c r="BB77" s="99"/>
      <c r="BC77" s="99"/>
      <c r="BD77" s="99"/>
      <c r="BE77" s="99"/>
      <c r="BF77" s="99"/>
      <c r="BG77" s="99"/>
      <c r="BH77" s="99"/>
      <c r="BI77" s="147"/>
      <c r="BJ77" s="100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22" customWidth="1"/>
    <col min="2" max="2" width="6.42578125" style="133" customWidth="1"/>
    <col min="3" max="3" width="9.5703125" style="133" bestFit="1" customWidth="1"/>
    <col min="4" max="4" width="14.28515625" style="133" bestFit="1" customWidth="1"/>
    <col min="5" max="5" width="6" style="133" customWidth="1"/>
    <col min="6" max="6" width="11.42578125" style="133" bestFit="1" customWidth="1"/>
    <col min="7" max="7" width="9.140625" style="133" customWidth="1"/>
    <col min="8" max="8" width="42" style="138" bestFit="1" customWidth="1"/>
    <col min="9" max="9" width="25" style="133" bestFit="1" customWidth="1"/>
    <col min="10" max="10" width="85.28515625" style="138" bestFit="1" customWidth="1"/>
    <col min="11" max="11" width="3.5703125" style="122" customWidth="1"/>
    <col min="12" max="16384" width="11.42578125" style="122"/>
  </cols>
  <sheetData>
    <row r="1" spans="1:11" ht="12.75" customHeight="1" x14ac:dyDescent="0.25">
      <c r="A1" s="77"/>
      <c r="B1" s="118"/>
      <c r="C1" s="78"/>
      <c r="D1" s="78"/>
      <c r="E1" s="78"/>
      <c r="F1" s="78"/>
      <c r="G1" s="78"/>
      <c r="H1" s="119"/>
      <c r="I1" s="78"/>
      <c r="J1" s="119"/>
      <c r="K1" s="77"/>
    </row>
    <row r="2" spans="1:11" ht="12.75" customHeight="1" x14ac:dyDescent="0.25">
      <c r="A2" s="77"/>
      <c r="B2" s="79">
        <v>23147</v>
      </c>
      <c r="C2" s="134"/>
      <c r="D2" s="80"/>
      <c r="E2" s="80"/>
      <c r="F2" s="80"/>
      <c r="G2" s="80"/>
      <c r="H2" s="120"/>
      <c r="I2" s="80"/>
      <c r="J2" s="120"/>
      <c r="K2" s="77"/>
    </row>
    <row r="3" spans="1:11" ht="12.75" customHeight="1" x14ac:dyDescent="0.25">
      <c r="A3" s="77"/>
      <c r="B3" s="79" t="s">
        <v>33</v>
      </c>
      <c r="C3" s="134"/>
      <c r="D3" s="80"/>
      <c r="E3" s="80"/>
      <c r="F3" s="80"/>
      <c r="G3" s="80"/>
      <c r="H3" s="119"/>
      <c r="I3" s="78"/>
      <c r="J3" s="119"/>
      <c r="K3" s="77"/>
    </row>
    <row r="4" spans="1:11" ht="12.75" customHeight="1" x14ac:dyDescent="0.25">
      <c r="A4" s="77"/>
      <c r="B4" s="79" t="s">
        <v>32</v>
      </c>
      <c r="C4" s="134"/>
      <c r="D4" s="80"/>
      <c r="E4" s="80"/>
      <c r="F4" s="80"/>
      <c r="G4" s="80"/>
      <c r="H4" s="119"/>
      <c r="I4" s="78"/>
      <c r="J4" s="119"/>
      <c r="K4" s="77"/>
    </row>
    <row r="5" spans="1:11" ht="12.75" customHeight="1" x14ac:dyDescent="0.25">
      <c r="A5" s="77"/>
      <c r="B5" s="118"/>
      <c r="C5" s="78"/>
      <c r="D5" s="78"/>
      <c r="E5" s="78"/>
      <c r="F5" s="78"/>
      <c r="G5" s="78"/>
      <c r="H5" s="119"/>
      <c r="I5" s="78"/>
      <c r="J5" s="119"/>
      <c r="K5" s="77"/>
    </row>
    <row r="6" spans="1:11" ht="15" customHeight="1" x14ac:dyDescent="0.25">
      <c r="A6" s="77"/>
      <c r="B6" s="135" t="s">
        <v>459</v>
      </c>
      <c r="C6" s="123"/>
      <c r="D6" s="123"/>
      <c r="E6" s="123"/>
      <c r="F6" s="123"/>
      <c r="G6" s="123"/>
      <c r="H6" s="120"/>
      <c r="I6" s="78"/>
      <c r="J6" s="119"/>
      <c r="K6" s="77"/>
    </row>
    <row r="7" spans="1:11" ht="12.75" customHeight="1" x14ac:dyDescent="0.25">
      <c r="A7" s="77"/>
      <c r="B7" s="78"/>
      <c r="C7" s="78"/>
      <c r="D7" s="78"/>
      <c r="E7" s="78"/>
      <c r="F7" s="78"/>
      <c r="G7" s="78"/>
      <c r="H7" s="119"/>
      <c r="I7" s="78"/>
      <c r="J7" s="119"/>
      <c r="K7" s="77"/>
    </row>
    <row r="8" spans="1:11" x14ac:dyDescent="0.25">
      <c r="B8" s="124"/>
      <c r="C8" s="124"/>
      <c r="D8" s="124"/>
      <c r="E8" s="124"/>
      <c r="F8" s="124"/>
      <c r="G8" s="124"/>
      <c r="H8" s="136"/>
      <c r="I8" s="124"/>
      <c r="J8" s="136"/>
    </row>
    <row r="9" spans="1:11" x14ac:dyDescent="0.25">
      <c r="B9" s="125"/>
      <c r="C9" s="126" t="s">
        <v>247</v>
      </c>
      <c r="D9" s="121" t="s">
        <v>234</v>
      </c>
      <c r="E9" s="121"/>
      <c r="F9" s="121" t="s">
        <v>19</v>
      </c>
      <c r="G9" s="121" t="s">
        <v>460</v>
      </c>
      <c r="H9" s="121" t="s">
        <v>311</v>
      </c>
      <c r="I9" s="121" t="s">
        <v>461</v>
      </c>
      <c r="J9" s="127" t="s">
        <v>35</v>
      </c>
    </row>
    <row r="10" spans="1:11" ht="16.5" hidden="1" customHeight="1" x14ac:dyDescent="0.25">
      <c r="B10" s="129">
        <v>1</v>
      </c>
      <c r="C10" s="129">
        <v>11002</v>
      </c>
      <c r="D10" s="144" t="s">
        <v>462</v>
      </c>
      <c r="E10" s="128" t="s">
        <v>465</v>
      </c>
      <c r="F10" s="129" t="s">
        <v>463</v>
      </c>
      <c r="G10" s="130" t="s">
        <v>248</v>
      </c>
      <c r="H10" s="137" t="s">
        <v>464</v>
      </c>
      <c r="I10" s="130" t="s">
        <v>506</v>
      </c>
      <c r="J10" s="137" t="s">
        <v>612</v>
      </c>
    </row>
    <row r="11" spans="1:11" ht="16.5" hidden="1" customHeight="1" x14ac:dyDescent="0.25">
      <c r="B11" s="129">
        <v>2</v>
      </c>
      <c r="C11" s="129">
        <v>11002</v>
      </c>
      <c r="D11" s="144" t="s">
        <v>462</v>
      </c>
      <c r="E11" s="128" t="s">
        <v>465</v>
      </c>
      <c r="F11" s="129" t="s">
        <v>463</v>
      </c>
      <c r="G11" s="130" t="s">
        <v>329</v>
      </c>
      <c r="H11" s="137" t="s">
        <v>591</v>
      </c>
      <c r="I11" s="130" t="s">
        <v>507</v>
      </c>
      <c r="J11" s="137" t="s">
        <v>602</v>
      </c>
    </row>
    <row r="12" spans="1:11" ht="16.5" hidden="1" customHeight="1" x14ac:dyDescent="0.25">
      <c r="B12" s="129">
        <v>3</v>
      </c>
      <c r="C12" s="129">
        <v>11002</v>
      </c>
      <c r="D12" s="144" t="s">
        <v>462</v>
      </c>
      <c r="E12" s="128" t="s">
        <v>465</v>
      </c>
      <c r="F12" s="129" t="s">
        <v>463</v>
      </c>
      <c r="G12" s="130" t="s">
        <v>466</v>
      </c>
      <c r="H12" s="137" t="s">
        <v>592</v>
      </c>
      <c r="I12" s="130" t="s">
        <v>508</v>
      </c>
      <c r="J12" s="137" t="s">
        <v>600</v>
      </c>
    </row>
    <row r="13" spans="1:11" ht="16.5" hidden="1" customHeight="1" x14ac:dyDescent="0.25">
      <c r="B13" s="129">
        <v>4</v>
      </c>
      <c r="C13" s="129">
        <v>11002</v>
      </c>
      <c r="D13" s="144" t="s">
        <v>462</v>
      </c>
      <c r="E13" s="128" t="s">
        <v>465</v>
      </c>
      <c r="F13" s="129" t="s">
        <v>463</v>
      </c>
      <c r="G13" s="130" t="s">
        <v>467</v>
      </c>
      <c r="H13" s="137" t="s">
        <v>593</v>
      </c>
      <c r="I13" s="130" t="s">
        <v>509</v>
      </c>
      <c r="J13" s="137" t="s">
        <v>601</v>
      </c>
    </row>
    <row r="14" spans="1:11" ht="16.5" hidden="1" customHeight="1" x14ac:dyDescent="0.25">
      <c r="B14" s="129">
        <v>5</v>
      </c>
      <c r="C14" s="129">
        <v>11002</v>
      </c>
      <c r="D14" s="144" t="s">
        <v>462</v>
      </c>
      <c r="E14" s="128" t="s">
        <v>465</v>
      </c>
      <c r="F14" s="129" t="s">
        <v>463</v>
      </c>
      <c r="G14" s="130" t="s">
        <v>468</v>
      </c>
      <c r="H14" s="137" t="s">
        <v>594</v>
      </c>
      <c r="I14" s="130" t="s">
        <v>510</v>
      </c>
      <c r="J14" s="137" t="s">
        <v>603</v>
      </c>
    </row>
    <row r="15" spans="1:11" ht="16.5" hidden="1" customHeight="1" x14ac:dyDescent="0.25">
      <c r="B15" s="129">
        <v>6</v>
      </c>
      <c r="C15" s="129">
        <v>11002</v>
      </c>
      <c r="D15" s="144" t="s">
        <v>462</v>
      </c>
      <c r="E15" s="128" t="s">
        <v>465</v>
      </c>
      <c r="F15" s="129" t="s">
        <v>463</v>
      </c>
      <c r="G15" s="130" t="s">
        <v>469</v>
      </c>
      <c r="H15" s="137" t="s">
        <v>595</v>
      </c>
      <c r="I15" s="130" t="s">
        <v>511</v>
      </c>
      <c r="J15" s="137" t="s">
        <v>604</v>
      </c>
    </row>
    <row r="16" spans="1:11" ht="16.5" hidden="1" customHeight="1" x14ac:dyDescent="0.25">
      <c r="B16" s="129">
        <v>7</v>
      </c>
      <c r="C16" s="129">
        <v>11002</v>
      </c>
      <c r="D16" s="144" t="s">
        <v>462</v>
      </c>
      <c r="E16" s="128" t="s">
        <v>465</v>
      </c>
      <c r="F16" s="129" t="s">
        <v>463</v>
      </c>
      <c r="G16" s="130" t="s">
        <v>470</v>
      </c>
      <c r="H16" s="137" t="s">
        <v>596</v>
      </c>
      <c r="I16" s="130" t="s">
        <v>512</v>
      </c>
      <c r="J16" s="137" t="s">
        <v>605</v>
      </c>
    </row>
    <row r="17" spans="2:10" ht="16.5" hidden="1" customHeight="1" x14ac:dyDescent="0.25">
      <c r="B17" s="129">
        <v>8</v>
      </c>
      <c r="C17" s="129">
        <v>11002</v>
      </c>
      <c r="D17" s="144" t="s">
        <v>462</v>
      </c>
      <c r="E17" s="128" t="s">
        <v>465</v>
      </c>
      <c r="F17" s="129" t="s">
        <v>463</v>
      </c>
      <c r="G17" s="130" t="s">
        <v>471</v>
      </c>
      <c r="H17" s="137" t="s">
        <v>597</v>
      </c>
      <c r="I17" s="130" t="s">
        <v>513</v>
      </c>
      <c r="J17" s="137" t="s">
        <v>605</v>
      </c>
    </row>
    <row r="18" spans="2:10" ht="16.5" hidden="1" customHeight="1" x14ac:dyDescent="0.25">
      <c r="B18" s="129">
        <v>9</v>
      </c>
      <c r="C18" s="129">
        <v>11002</v>
      </c>
      <c r="D18" s="144" t="s">
        <v>462</v>
      </c>
      <c r="E18" s="128" t="s">
        <v>465</v>
      </c>
      <c r="F18" s="129" t="s">
        <v>463</v>
      </c>
      <c r="G18" s="130" t="s">
        <v>314</v>
      </c>
      <c r="H18" s="137" t="s">
        <v>598</v>
      </c>
      <c r="I18" s="130" t="s">
        <v>514</v>
      </c>
      <c r="J18" s="137" t="s">
        <v>606</v>
      </c>
    </row>
    <row r="19" spans="2:10" ht="16.5" hidden="1" customHeight="1" x14ac:dyDescent="0.25">
      <c r="B19" s="129">
        <v>10</v>
      </c>
      <c r="C19" s="129">
        <v>11002</v>
      </c>
      <c r="D19" s="144" t="s">
        <v>462</v>
      </c>
      <c r="E19" s="128" t="s">
        <v>465</v>
      </c>
      <c r="F19" s="129" t="s">
        <v>463</v>
      </c>
      <c r="G19" s="130" t="s">
        <v>472</v>
      </c>
      <c r="H19" s="137" t="s">
        <v>607</v>
      </c>
      <c r="I19" s="130" t="s">
        <v>515</v>
      </c>
      <c r="J19" s="137" t="s">
        <v>606</v>
      </c>
    </row>
    <row r="20" spans="2:10" ht="16.5" hidden="1" customHeight="1" x14ac:dyDescent="0.25">
      <c r="B20" s="129">
        <v>11</v>
      </c>
      <c r="C20" s="129">
        <v>11002</v>
      </c>
      <c r="D20" s="144" t="s">
        <v>462</v>
      </c>
      <c r="E20" s="128" t="s">
        <v>465</v>
      </c>
      <c r="F20" s="129" t="s">
        <v>463</v>
      </c>
      <c r="G20" s="130" t="s">
        <v>473</v>
      </c>
      <c r="H20" s="137" t="s">
        <v>599</v>
      </c>
      <c r="I20" s="130" t="s">
        <v>516</v>
      </c>
      <c r="J20" s="137" t="s">
        <v>608</v>
      </c>
    </row>
    <row r="21" spans="2:10" ht="16.5" hidden="1" customHeight="1" x14ac:dyDescent="0.25">
      <c r="B21" s="139">
        <v>12</v>
      </c>
      <c r="C21" s="139">
        <v>11002</v>
      </c>
      <c r="D21" s="144" t="s">
        <v>462</v>
      </c>
      <c r="E21" s="128" t="s">
        <v>465</v>
      </c>
      <c r="F21" s="139" t="s">
        <v>463</v>
      </c>
      <c r="G21" s="140" t="s">
        <v>474</v>
      </c>
      <c r="H21" s="141"/>
      <c r="I21" s="140" t="s">
        <v>517</v>
      </c>
      <c r="J21" s="141"/>
    </row>
    <row r="22" spans="2:10" ht="16.899999999999999" hidden="1" customHeight="1" x14ac:dyDescent="0.25">
      <c r="B22" s="139">
        <v>13</v>
      </c>
      <c r="C22" s="139">
        <v>11002</v>
      </c>
      <c r="D22" s="144" t="s">
        <v>462</v>
      </c>
      <c r="E22" s="128" t="s">
        <v>465</v>
      </c>
      <c r="F22" s="139" t="s">
        <v>463</v>
      </c>
      <c r="G22" s="140" t="s">
        <v>475</v>
      </c>
      <c r="H22" s="141"/>
      <c r="I22" s="140" t="s">
        <v>518</v>
      </c>
      <c r="J22" s="141"/>
    </row>
    <row r="23" spans="2:10" ht="16.5" hidden="1" customHeight="1" x14ac:dyDescent="0.25">
      <c r="B23" s="139">
        <v>14</v>
      </c>
      <c r="C23" s="139">
        <v>11002</v>
      </c>
      <c r="D23" s="144" t="s">
        <v>462</v>
      </c>
      <c r="E23" s="128" t="s">
        <v>465</v>
      </c>
      <c r="F23" s="139" t="s">
        <v>463</v>
      </c>
      <c r="G23" s="140" t="s">
        <v>476</v>
      </c>
      <c r="H23" s="141"/>
      <c r="I23" s="140" t="s">
        <v>519</v>
      </c>
      <c r="J23" s="141"/>
    </row>
    <row r="24" spans="2:10" ht="16.5" hidden="1" customHeight="1" x14ac:dyDescent="0.25">
      <c r="B24" s="139">
        <v>15</v>
      </c>
      <c r="C24" s="139">
        <v>11002</v>
      </c>
      <c r="D24" s="144" t="s">
        <v>462</v>
      </c>
      <c r="E24" s="128" t="s">
        <v>465</v>
      </c>
      <c r="F24" s="139" t="s">
        <v>463</v>
      </c>
      <c r="G24" s="140" t="s">
        <v>477</v>
      </c>
      <c r="H24" s="141"/>
      <c r="I24" s="140" t="s">
        <v>520</v>
      </c>
      <c r="J24" s="141"/>
    </row>
    <row r="25" spans="2:10" ht="16.5" hidden="1" customHeight="1" x14ac:dyDescent="0.25">
      <c r="B25" s="139">
        <v>16</v>
      </c>
      <c r="C25" s="139">
        <v>11002</v>
      </c>
      <c r="D25" s="144" t="s">
        <v>462</v>
      </c>
      <c r="E25" s="128" t="s">
        <v>465</v>
      </c>
      <c r="F25" s="139" t="s">
        <v>463</v>
      </c>
      <c r="G25" s="140" t="s">
        <v>478</v>
      </c>
      <c r="H25" s="141"/>
      <c r="I25" s="140" t="s">
        <v>521</v>
      </c>
      <c r="J25" s="141"/>
    </row>
    <row r="26" spans="2:10" ht="16.5" hidden="1" customHeight="1" x14ac:dyDescent="0.25">
      <c r="B26" s="139">
        <v>17</v>
      </c>
      <c r="C26" s="139">
        <v>11002</v>
      </c>
      <c r="D26" s="144" t="s">
        <v>462</v>
      </c>
      <c r="E26" s="128" t="s">
        <v>465</v>
      </c>
      <c r="F26" s="139" t="s">
        <v>463</v>
      </c>
      <c r="G26" s="140" t="s">
        <v>479</v>
      </c>
      <c r="H26" s="141"/>
      <c r="I26" s="140" t="s">
        <v>522</v>
      </c>
      <c r="J26" s="141"/>
    </row>
    <row r="27" spans="2:10" ht="16.5" hidden="1" customHeight="1" x14ac:dyDescent="0.25">
      <c r="B27" s="139">
        <v>18</v>
      </c>
      <c r="C27" s="139">
        <v>11002</v>
      </c>
      <c r="D27" s="144" t="s">
        <v>462</v>
      </c>
      <c r="E27" s="128" t="s">
        <v>465</v>
      </c>
      <c r="F27" s="139" t="s">
        <v>463</v>
      </c>
      <c r="G27" s="140" t="s">
        <v>480</v>
      </c>
      <c r="H27" s="141"/>
      <c r="I27" s="140" t="s">
        <v>523</v>
      </c>
      <c r="J27" s="141"/>
    </row>
    <row r="28" spans="2:10" ht="16.5" hidden="1" customHeight="1" x14ac:dyDescent="0.25">
      <c r="B28" s="139">
        <v>19</v>
      </c>
      <c r="C28" s="139">
        <v>11002</v>
      </c>
      <c r="D28" s="144" t="s">
        <v>462</v>
      </c>
      <c r="E28" s="128" t="s">
        <v>465</v>
      </c>
      <c r="F28" s="139" t="s">
        <v>463</v>
      </c>
      <c r="G28" s="140" t="s">
        <v>481</v>
      </c>
      <c r="H28" s="141"/>
      <c r="I28" s="140" t="s">
        <v>524</v>
      </c>
      <c r="J28" s="142"/>
    </row>
    <row r="29" spans="2:10" ht="16.5" hidden="1" customHeight="1" x14ac:dyDescent="0.25">
      <c r="B29" s="139">
        <v>20</v>
      </c>
      <c r="C29" s="139">
        <v>11002</v>
      </c>
      <c r="D29" s="144" t="s">
        <v>462</v>
      </c>
      <c r="E29" s="128" t="s">
        <v>465</v>
      </c>
      <c r="F29" s="139" t="s">
        <v>463</v>
      </c>
      <c r="G29" s="140" t="s">
        <v>482</v>
      </c>
      <c r="H29" s="141"/>
      <c r="I29" s="140" t="s">
        <v>525</v>
      </c>
      <c r="J29" s="141"/>
    </row>
    <row r="30" spans="2:10" ht="16.5" hidden="1" customHeight="1" x14ac:dyDescent="0.25">
      <c r="B30" s="139">
        <v>21</v>
      </c>
      <c r="C30" s="139">
        <v>11002</v>
      </c>
      <c r="D30" s="144" t="s">
        <v>462</v>
      </c>
      <c r="E30" s="128" t="s">
        <v>465</v>
      </c>
      <c r="F30" s="139" t="s">
        <v>463</v>
      </c>
      <c r="G30" s="140" t="s">
        <v>483</v>
      </c>
      <c r="H30" s="141"/>
      <c r="I30" s="140" t="s">
        <v>526</v>
      </c>
      <c r="J30" s="141"/>
    </row>
    <row r="31" spans="2:10" ht="16.5" hidden="1" customHeight="1" x14ac:dyDescent="0.25">
      <c r="B31" s="139">
        <v>22</v>
      </c>
      <c r="C31" s="139">
        <v>11002</v>
      </c>
      <c r="D31" s="144" t="s">
        <v>462</v>
      </c>
      <c r="E31" s="128" t="s">
        <v>465</v>
      </c>
      <c r="F31" s="139" t="s">
        <v>463</v>
      </c>
      <c r="G31" s="140" t="s">
        <v>484</v>
      </c>
      <c r="H31" s="141"/>
      <c r="I31" s="140" t="s">
        <v>527</v>
      </c>
      <c r="J31" s="141"/>
    </row>
    <row r="32" spans="2:10" ht="16.5" hidden="1" customHeight="1" x14ac:dyDescent="0.25">
      <c r="B32" s="139">
        <v>23</v>
      </c>
      <c r="C32" s="139">
        <v>11002</v>
      </c>
      <c r="D32" s="144" t="s">
        <v>462</v>
      </c>
      <c r="E32" s="128" t="s">
        <v>465</v>
      </c>
      <c r="F32" s="139" t="s">
        <v>463</v>
      </c>
      <c r="G32" s="140" t="s">
        <v>485</v>
      </c>
      <c r="H32" s="141"/>
      <c r="I32" s="140" t="s">
        <v>528</v>
      </c>
      <c r="J32" s="141"/>
    </row>
    <row r="33" spans="2:10" ht="16.5" hidden="1" customHeight="1" x14ac:dyDescent="0.25">
      <c r="B33" s="139">
        <v>24</v>
      </c>
      <c r="C33" s="139">
        <v>11002</v>
      </c>
      <c r="D33" s="144" t="s">
        <v>462</v>
      </c>
      <c r="E33" s="128" t="s">
        <v>465</v>
      </c>
      <c r="F33" s="139" t="s">
        <v>463</v>
      </c>
      <c r="G33" s="140" t="s">
        <v>486</v>
      </c>
      <c r="H33" s="141"/>
      <c r="I33" s="140" t="s">
        <v>529</v>
      </c>
      <c r="J33" s="141"/>
    </row>
    <row r="34" spans="2:10" ht="16.5" hidden="1" customHeight="1" x14ac:dyDescent="0.25">
      <c r="B34" s="139">
        <v>25</v>
      </c>
      <c r="C34" s="139">
        <v>11002</v>
      </c>
      <c r="D34" s="144" t="s">
        <v>462</v>
      </c>
      <c r="E34" s="128" t="s">
        <v>465</v>
      </c>
      <c r="F34" s="139" t="s">
        <v>463</v>
      </c>
      <c r="G34" s="140" t="s">
        <v>487</v>
      </c>
      <c r="H34" s="141"/>
      <c r="I34" s="140" t="s">
        <v>530</v>
      </c>
      <c r="J34" s="141"/>
    </row>
    <row r="35" spans="2:10" ht="16.5" hidden="1" customHeight="1" x14ac:dyDescent="0.25">
      <c r="B35" s="139">
        <v>26</v>
      </c>
      <c r="C35" s="139">
        <v>11002</v>
      </c>
      <c r="D35" s="144" t="s">
        <v>462</v>
      </c>
      <c r="E35" s="128" t="s">
        <v>465</v>
      </c>
      <c r="F35" s="139" t="s">
        <v>463</v>
      </c>
      <c r="G35" s="140" t="s">
        <v>488</v>
      </c>
      <c r="H35" s="141"/>
      <c r="I35" s="140" t="s">
        <v>531</v>
      </c>
      <c r="J35" s="141"/>
    </row>
    <row r="36" spans="2:10" ht="16.5" hidden="1" customHeight="1" x14ac:dyDescent="0.25">
      <c r="B36" s="139">
        <v>27</v>
      </c>
      <c r="C36" s="139">
        <v>11002</v>
      </c>
      <c r="D36" s="144" t="s">
        <v>462</v>
      </c>
      <c r="E36" s="128" t="s">
        <v>465</v>
      </c>
      <c r="F36" s="139" t="s">
        <v>463</v>
      </c>
      <c r="G36" s="140" t="s">
        <v>489</v>
      </c>
      <c r="H36" s="141"/>
      <c r="I36" s="140" t="s">
        <v>532</v>
      </c>
      <c r="J36" s="141"/>
    </row>
    <row r="37" spans="2:10" ht="16.5" hidden="1" customHeight="1" x14ac:dyDescent="0.25">
      <c r="B37" s="139">
        <v>28</v>
      </c>
      <c r="C37" s="139">
        <v>11002</v>
      </c>
      <c r="D37" s="144" t="s">
        <v>462</v>
      </c>
      <c r="E37" s="128" t="s">
        <v>465</v>
      </c>
      <c r="F37" s="139" t="s">
        <v>463</v>
      </c>
      <c r="G37" s="140" t="s">
        <v>490</v>
      </c>
      <c r="H37" s="141"/>
      <c r="I37" s="140" t="s">
        <v>533</v>
      </c>
      <c r="J37" s="141"/>
    </row>
    <row r="38" spans="2:10" ht="16.5" hidden="1" customHeight="1" x14ac:dyDescent="0.25">
      <c r="B38" s="139">
        <v>29</v>
      </c>
      <c r="C38" s="139">
        <v>11002</v>
      </c>
      <c r="D38" s="144" t="s">
        <v>462</v>
      </c>
      <c r="E38" s="128" t="s">
        <v>465</v>
      </c>
      <c r="F38" s="139" t="s">
        <v>463</v>
      </c>
      <c r="G38" s="140" t="s">
        <v>491</v>
      </c>
      <c r="H38" s="141"/>
      <c r="I38" s="140" t="s">
        <v>534</v>
      </c>
      <c r="J38" s="141"/>
    </row>
    <row r="39" spans="2:10" ht="16.5" hidden="1" customHeight="1" x14ac:dyDescent="0.25">
      <c r="B39" s="139">
        <v>30</v>
      </c>
      <c r="C39" s="139">
        <v>11002</v>
      </c>
      <c r="D39" s="144" t="s">
        <v>462</v>
      </c>
      <c r="E39" s="128" t="s">
        <v>465</v>
      </c>
      <c r="F39" s="139" t="s">
        <v>463</v>
      </c>
      <c r="G39" s="140" t="s">
        <v>492</v>
      </c>
      <c r="H39" s="141"/>
      <c r="I39" s="140" t="s">
        <v>535</v>
      </c>
      <c r="J39" s="141"/>
    </row>
    <row r="40" spans="2:10" ht="16.5" hidden="1" customHeight="1" x14ac:dyDescent="0.25">
      <c r="B40" s="139">
        <v>31</v>
      </c>
      <c r="C40" s="139">
        <v>11002</v>
      </c>
      <c r="D40" s="144" t="s">
        <v>462</v>
      </c>
      <c r="E40" s="128" t="s">
        <v>465</v>
      </c>
      <c r="F40" s="139" t="s">
        <v>463</v>
      </c>
      <c r="G40" s="140" t="s">
        <v>493</v>
      </c>
      <c r="H40" s="141"/>
      <c r="I40" s="140" t="s">
        <v>536</v>
      </c>
      <c r="J40" s="141"/>
    </row>
    <row r="41" spans="2:10" ht="16.5" hidden="1" customHeight="1" x14ac:dyDescent="0.25">
      <c r="B41" s="139">
        <v>32</v>
      </c>
      <c r="C41" s="139">
        <v>11002</v>
      </c>
      <c r="D41" s="144" t="s">
        <v>462</v>
      </c>
      <c r="E41" s="128" t="s">
        <v>465</v>
      </c>
      <c r="F41" s="139" t="s">
        <v>463</v>
      </c>
      <c r="G41" s="140" t="s">
        <v>494</v>
      </c>
      <c r="H41" s="141"/>
      <c r="I41" s="140" t="s">
        <v>537</v>
      </c>
      <c r="J41" s="141"/>
    </row>
    <row r="42" spans="2:10" ht="16.5" hidden="1" customHeight="1" x14ac:dyDescent="0.25">
      <c r="B42" s="139">
        <v>33</v>
      </c>
      <c r="C42" s="139">
        <v>11002</v>
      </c>
      <c r="D42" s="144" t="s">
        <v>462</v>
      </c>
      <c r="E42" s="128" t="s">
        <v>465</v>
      </c>
      <c r="F42" s="139" t="s">
        <v>504</v>
      </c>
      <c r="G42" s="140" t="s">
        <v>495</v>
      </c>
      <c r="H42" s="141"/>
      <c r="I42" s="140" t="s">
        <v>538</v>
      </c>
      <c r="J42" s="141"/>
    </row>
    <row r="43" spans="2:10" ht="16.5" hidden="1" customHeight="1" x14ac:dyDescent="0.25">
      <c r="B43" s="139">
        <v>34</v>
      </c>
      <c r="C43" s="139">
        <v>11002</v>
      </c>
      <c r="D43" s="144" t="s">
        <v>462</v>
      </c>
      <c r="E43" s="128" t="s">
        <v>465</v>
      </c>
      <c r="F43" s="139" t="s">
        <v>504</v>
      </c>
      <c r="G43" s="140" t="s">
        <v>496</v>
      </c>
      <c r="H43" s="141"/>
      <c r="I43" s="140" t="s">
        <v>539</v>
      </c>
      <c r="J43" s="141"/>
    </row>
    <row r="44" spans="2:10" ht="16.5" hidden="1" customHeight="1" x14ac:dyDescent="0.25">
      <c r="B44" s="139">
        <v>35</v>
      </c>
      <c r="C44" s="139">
        <v>11002</v>
      </c>
      <c r="D44" s="144" t="s">
        <v>462</v>
      </c>
      <c r="E44" s="128" t="s">
        <v>465</v>
      </c>
      <c r="F44" s="139" t="s">
        <v>504</v>
      </c>
      <c r="G44" s="140" t="s">
        <v>497</v>
      </c>
      <c r="H44" s="141"/>
      <c r="I44" s="140" t="s">
        <v>540</v>
      </c>
      <c r="J44" s="141"/>
    </row>
    <row r="45" spans="2:10" ht="16.5" hidden="1" customHeight="1" x14ac:dyDescent="0.25">
      <c r="B45" s="139">
        <v>36</v>
      </c>
      <c r="C45" s="139">
        <v>11002</v>
      </c>
      <c r="D45" s="144" t="s">
        <v>462</v>
      </c>
      <c r="E45" s="128" t="s">
        <v>465</v>
      </c>
      <c r="F45" s="139" t="s">
        <v>504</v>
      </c>
      <c r="G45" s="140" t="s">
        <v>251</v>
      </c>
      <c r="H45" s="141"/>
      <c r="I45" s="140" t="s">
        <v>541</v>
      </c>
      <c r="J45" s="141"/>
    </row>
    <row r="46" spans="2:10" ht="16.5" hidden="1" customHeight="1" x14ac:dyDescent="0.25">
      <c r="B46" s="139">
        <v>37</v>
      </c>
      <c r="C46" s="139">
        <v>11002</v>
      </c>
      <c r="D46" s="144" t="s">
        <v>462</v>
      </c>
      <c r="E46" s="128" t="s">
        <v>465</v>
      </c>
      <c r="F46" s="139" t="s">
        <v>504</v>
      </c>
      <c r="G46" s="140" t="s">
        <v>498</v>
      </c>
      <c r="H46" s="141"/>
      <c r="I46" s="140" t="s">
        <v>542</v>
      </c>
      <c r="J46" s="141"/>
    </row>
    <row r="47" spans="2:10" ht="16.5" hidden="1" customHeight="1" x14ac:dyDescent="0.25">
      <c r="B47" s="129">
        <v>38</v>
      </c>
      <c r="C47" s="129">
        <v>11002</v>
      </c>
      <c r="D47" s="144" t="s">
        <v>462</v>
      </c>
      <c r="E47" s="128" t="s">
        <v>465</v>
      </c>
      <c r="F47" s="129" t="s">
        <v>505</v>
      </c>
      <c r="G47" s="130" t="s">
        <v>499</v>
      </c>
      <c r="H47" s="137" t="s">
        <v>609</v>
      </c>
      <c r="I47" s="130" t="s">
        <v>543</v>
      </c>
      <c r="J47" s="137" t="s">
        <v>610</v>
      </c>
    </row>
    <row r="48" spans="2:10" ht="16.5" hidden="1" customHeight="1" x14ac:dyDescent="0.25">
      <c r="B48" s="139">
        <v>39</v>
      </c>
      <c r="C48" s="139">
        <v>11002</v>
      </c>
      <c r="D48" s="144" t="s">
        <v>462</v>
      </c>
      <c r="E48" s="128" t="s">
        <v>465</v>
      </c>
      <c r="F48" s="139" t="s">
        <v>505</v>
      </c>
      <c r="G48" s="140" t="s">
        <v>500</v>
      </c>
      <c r="H48" s="141"/>
      <c r="I48" s="140" t="s">
        <v>544</v>
      </c>
      <c r="J48" s="141"/>
    </row>
    <row r="49" spans="2:11" ht="16.5" hidden="1" customHeight="1" x14ac:dyDescent="0.25">
      <c r="B49" s="139">
        <v>40</v>
      </c>
      <c r="C49" s="139">
        <v>11002</v>
      </c>
      <c r="D49" s="144" t="s">
        <v>462</v>
      </c>
      <c r="E49" s="128" t="s">
        <v>465</v>
      </c>
      <c r="F49" s="139" t="s">
        <v>505</v>
      </c>
      <c r="G49" s="140" t="s">
        <v>501</v>
      </c>
      <c r="H49" s="141"/>
      <c r="I49" s="140" t="s">
        <v>545</v>
      </c>
      <c r="J49" s="141"/>
    </row>
    <row r="50" spans="2:11" ht="16.5" hidden="1" customHeight="1" x14ac:dyDescent="0.25">
      <c r="B50" s="139">
        <v>41</v>
      </c>
      <c r="C50" s="139">
        <v>11002</v>
      </c>
      <c r="D50" s="144" t="s">
        <v>462</v>
      </c>
      <c r="E50" s="128" t="s">
        <v>465</v>
      </c>
      <c r="F50" s="139" t="s">
        <v>505</v>
      </c>
      <c r="G50" s="140" t="s">
        <v>502</v>
      </c>
      <c r="H50" s="141"/>
      <c r="I50" s="140" t="s">
        <v>546</v>
      </c>
      <c r="J50" s="141"/>
      <c r="K50" s="131"/>
    </row>
    <row r="51" spans="2:11" ht="16.5" hidden="1" customHeight="1" x14ac:dyDescent="0.25">
      <c r="B51" s="139">
        <v>42</v>
      </c>
      <c r="C51" s="139">
        <v>11002</v>
      </c>
      <c r="D51" s="144" t="s">
        <v>462</v>
      </c>
      <c r="E51" s="128" t="s">
        <v>465</v>
      </c>
      <c r="F51" s="139" t="s">
        <v>505</v>
      </c>
      <c r="G51" s="140" t="s">
        <v>503</v>
      </c>
      <c r="H51" s="141"/>
      <c r="I51" s="140" t="s">
        <v>547</v>
      </c>
      <c r="J51" s="141"/>
      <c r="K51" s="131"/>
    </row>
    <row r="52" spans="2:11" ht="16.5" hidden="1" customHeight="1" x14ac:dyDescent="0.25">
      <c r="B52" s="129">
        <v>43</v>
      </c>
      <c r="C52" s="129">
        <v>11002</v>
      </c>
      <c r="D52" s="144" t="s">
        <v>462</v>
      </c>
      <c r="E52" s="132" t="s">
        <v>548</v>
      </c>
      <c r="F52" s="129" t="s">
        <v>463</v>
      </c>
      <c r="G52" s="130" t="s">
        <v>549</v>
      </c>
      <c r="H52" s="137" t="s">
        <v>464</v>
      </c>
      <c r="I52" s="130" t="s">
        <v>506</v>
      </c>
      <c r="J52" s="137" t="s">
        <v>611</v>
      </c>
    </row>
    <row r="53" spans="2:11" ht="16.5" hidden="1" customHeight="1" x14ac:dyDescent="0.25">
      <c r="B53" s="129">
        <v>44</v>
      </c>
      <c r="C53" s="129">
        <v>11002</v>
      </c>
      <c r="D53" s="144" t="s">
        <v>462</v>
      </c>
      <c r="E53" s="132" t="s">
        <v>548</v>
      </c>
      <c r="F53" s="129" t="s">
        <v>463</v>
      </c>
      <c r="G53" s="130" t="s">
        <v>550</v>
      </c>
      <c r="H53" s="137" t="s">
        <v>613</v>
      </c>
      <c r="I53" s="130" t="s">
        <v>507</v>
      </c>
      <c r="J53" s="137"/>
    </row>
    <row r="54" spans="2:11" ht="16.5" hidden="1" customHeight="1" x14ac:dyDescent="0.25">
      <c r="B54" s="129">
        <v>45</v>
      </c>
      <c r="C54" s="129">
        <v>11002</v>
      </c>
      <c r="D54" s="144" t="s">
        <v>462</v>
      </c>
      <c r="E54" s="132" t="s">
        <v>548</v>
      </c>
      <c r="F54" s="129" t="s">
        <v>463</v>
      </c>
      <c r="G54" s="130" t="s">
        <v>551</v>
      </c>
      <c r="H54" s="137" t="s">
        <v>614</v>
      </c>
      <c r="I54" s="130" t="s">
        <v>508</v>
      </c>
      <c r="J54" s="137"/>
    </row>
    <row r="55" spans="2:11" ht="16.5" hidden="1" customHeight="1" x14ac:dyDescent="0.25">
      <c r="B55" s="129">
        <v>46</v>
      </c>
      <c r="C55" s="129">
        <v>11002</v>
      </c>
      <c r="D55" s="144" t="s">
        <v>462</v>
      </c>
      <c r="E55" s="132" t="s">
        <v>548</v>
      </c>
      <c r="F55" s="129" t="s">
        <v>463</v>
      </c>
      <c r="G55" s="130" t="s">
        <v>552</v>
      </c>
      <c r="H55" s="137" t="s">
        <v>615</v>
      </c>
      <c r="I55" s="130" t="s">
        <v>509</v>
      </c>
      <c r="J55" s="137" t="s">
        <v>616</v>
      </c>
    </row>
    <row r="56" spans="2:11" ht="16.5" hidden="1" customHeight="1" x14ac:dyDescent="0.25">
      <c r="B56" s="129">
        <v>47</v>
      </c>
      <c r="C56" s="129">
        <v>11002</v>
      </c>
      <c r="D56" s="144" t="s">
        <v>462</v>
      </c>
      <c r="E56" s="132" t="s">
        <v>548</v>
      </c>
      <c r="F56" s="129" t="s">
        <v>463</v>
      </c>
      <c r="G56" s="130" t="s">
        <v>553</v>
      </c>
      <c r="H56" s="137" t="s">
        <v>617</v>
      </c>
      <c r="I56" s="130" t="s">
        <v>510</v>
      </c>
      <c r="J56" s="137"/>
    </row>
    <row r="57" spans="2:11" ht="16.5" hidden="1" customHeight="1" x14ac:dyDescent="0.25">
      <c r="B57" s="129">
        <v>48</v>
      </c>
      <c r="C57" s="129">
        <v>11002</v>
      </c>
      <c r="D57" s="144" t="s">
        <v>462</v>
      </c>
      <c r="E57" s="132" t="s">
        <v>548</v>
      </c>
      <c r="F57" s="129" t="s">
        <v>463</v>
      </c>
      <c r="G57" s="130" t="s">
        <v>554</v>
      </c>
      <c r="H57" s="137" t="s">
        <v>618</v>
      </c>
      <c r="I57" s="130" t="s">
        <v>511</v>
      </c>
      <c r="J57" s="137"/>
    </row>
    <row r="58" spans="2:11" ht="16.5" hidden="1" customHeight="1" x14ac:dyDescent="0.25">
      <c r="B58" s="129">
        <v>49</v>
      </c>
      <c r="C58" s="129">
        <v>11002</v>
      </c>
      <c r="D58" s="144" t="s">
        <v>462</v>
      </c>
      <c r="E58" s="132" t="s">
        <v>548</v>
      </c>
      <c r="F58" s="129" t="s">
        <v>463</v>
      </c>
      <c r="G58" s="130" t="s">
        <v>555</v>
      </c>
      <c r="H58" s="137" t="s">
        <v>619</v>
      </c>
      <c r="I58" s="130" t="s">
        <v>512</v>
      </c>
      <c r="J58" s="137"/>
    </row>
    <row r="59" spans="2:11" ht="16.5" hidden="1" customHeight="1" x14ac:dyDescent="0.25">
      <c r="B59" s="129">
        <v>50</v>
      </c>
      <c r="C59" s="129">
        <v>11002</v>
      </c>
      <c r="D59" s="144" t="s">
        <v>462</v>
      </c>
      <c r="E59" s="132" t="s">
        <v>548</v>
      </c>
      <c r="F59" s="129" t="s">
        <v>463</v>
      </c>
      <c r="G59" s="130" t="s">
        <v>556</v>
      </c>
      <c r="H59" s="137" t="s">
        <v>620</v>
      </c>
      <c r="I59" s="130" t="s">
        <v>513</v>
      </c>
      <c r="J59" s="137"/>
    </row>
    <row r="60" spans="2:11" ht="16.5" hidden="1" customHeight="1" x14ac:dyDescent="0.25">
      <c r="B60" s="129">
        <v>51</v>
      </c>
      <c r="C60" s="129">
        <v>11002</v>
      </c>
      <c r="D60" s="144" t="s">
        <v>462</v>
      </c>
      <c r="E60" s="132" t="s">
        <v>548</v>
      </c>
      <c r="F60" s="129" t="s">
        <v>463</v>
      </c>
      <c r="G60" s="130" t="s">
        <v>557</v>
      </c>
      <c r="H60" s="137" t="s">
        <v>621</v>
      </c>
      <c r="I60" s="130" t="s">
        <v>514</v>
      </c>
      <c r="J60" s="137"/>
    </row>
    <row r="61" spans="2:11" ht="16.5" hidden="1" customHeight="1" x14ac:dyDescent="0.25">
      <c r="B61" s="129">
        <v>52</v>
      </c>
      <c r="C61" s="129">
        <v>11002</v>
      </c>
      <c r="D61" s="144" t="s">
        <v>462</v>
      </c>
      <c r="E61" s="132" t="s">
        <v>548</v>
      </c>
      <c r="F61" s="129" t="s">
        <v>463</v>
      </c>
      <c r="G61" s="130" t="s">
        <v>558</v>
      </c>
      <c r="H61" s="137" t="s">
        <v>622</v>
      </c>
      <c r="I61" s="130" t="s">
        <v>515</v>
      </c>
      <c r="J61" s="137"/>
    </row>
    <row r="62" spans="2:11" ht="16.5" hidden="1" customHeight="1" x14ac:dyDescent="0.25">
      <c r="B62" s="129">
        <v>53</v>
      </c>
      <c r="C62" s="129">
        <v>11002</v>
      </c>
      <c r="D62" s="144" t="s">
        <v>462</v>
      </c>
      <c r="E62" s="132" t="s">
        <v>548</v>
      </c>
      <c r="F62" s="129" t="s">
        <v>463</v>
      </c>
      <c r="G62" s="130" t="s">
        <v>559</v>
      </c>
      <c r="H62" s="137" t="s">
        <v>623</v>
      </c>
      <c r="I62" s="130" t="s">
        <v>516</v>
      </c>
      <c r="J62" s="137"/>
    </row>
    <row r="63" spans="2:11" ht="16.5" hidden="1" customHeight="1" x14ac:dyDescent="0.25">
      <c r="B63" s="129">
        <v>54</v>
      </c>
      <c r="C63" s="129">
        <v>11002</v>
      </c>
      <c r="D63" s="144" t="s">
        <v>462</v>
      </c>
      <c r="E63" s="132" t="s">
        <v>548</v>
      </c>
      <c r="F63" s="129" t="s">
        <v>463</v>
      </c>
      <c r="G63" s="130" t="s">
        <v>560</v>
      </c>
      <c r="H63" s="137" t="s">
        <v>624</v>
      </c>
      <c r="I63" s="130" t="s">
        <v>517</v>
      </c>
      <c r="J63" s="137" t="s">
        <v>626</v>
      </c>
    </row>
    <row r="64" spans="2:11" ht="16.5" hidden="1" customHeight="1" x14ac:dyDescent="0.25">
      <c r="B64" s="129">
        <v>55</v>
      </c>
      <c r="C64" s="129">
        <v>11002</v>
      </c>
      <c r="D64" s="144" t="s">
        <v>462</v>
      </c>
      <c r="E64" s="132" t="s">
        <v>548</v>
      </c>
      <c r="F64" s="129" t="s">
        <v>463</v>
      </c>
      <c r="G64" s="130" t="s">
        <v>561</v>
      </c>
      <c r="H64" s="137" t="s">
        <v>625</v>
      </c>
      <c r="I64" s="130" t="s">
        <v>518</v>
      </c>
      <c r="J64" s="137" t="s">
        <v>626</v>
      </c>
    </row>
    <row r="65" spans="2:10" ht="16.5" hidden="1" customHeight="1" x14ac:dyDescent="0.25">
      <c r="B65" s="139">
        <v>56</v>
      </c>
      <c r="C65" s="139">
        <v>11002</v>
      </c>
      <c r="D65" s="144" t="s">
        <v>462</v>
      </c>
      <c r="E65" s="132" t="s">
        <v>548</v>
      </c>
      <c r="F65" s="139" t="s">
        <v>463</v>
      </c>
      <c r="G65" s="140" t="s">
        <v>562</v>
      </c>
      <c r="H65" s="141"/>
      <c r="I65" s="140" t="s">
        <v>519</v>
      </c>
      <c r="J65" s="141"/>
    </row>
    <row r="66" spans="2:10" ht="16.5" hidden="1" customHeight="1" x14ac:dyDescent="0.25">
      <c r="B66" s="139">
        <v>57</v>
      </c>
      <c r="C66" s="139">
        <v>11002</v>
      </c>
      <c r="D66" s="144" t="s">
        <v>462</v>
      </c>
      <c r="E66" s="132" t="s">
        <v>548</v>
      </c>
      <c r="F66" s="139" t="s">
        <v>463</v>
      </c>
      <c r="G66" s="140" t="s">
        <v>563</v>
      </c>
      <c r="H66" s="141"/>
      <c r="I66" s="140" t="s">
        <v>520</v>
      </c>
      <c r="J66" s="141"/>
    </row>
    <row r="67" spans="2:10" ht="16.5" hidden="1" customHeight="1" x14ac:dyDescent="0.25">
      <c r="B67" s="139">
        <v>58</v>
      </c>
      <c r="C67" s="139">
        <v>11002</v>
      </c>
      <c r="D67" s="144" t="s">
        <v>462</v>
      </c>
      <c r="E67" s="132" t="s">
        <v>548</v>
      </c>
      <c r="F67" s="139" t="s">
        <v>463</v>
      </c>
      <c r="G67" s="140" t="s">
        <v>564</v>
      </c>
      <c r="H67" s="141"/>
      <c r="I67" s="140" t="s">
        <v>521</v>
      </c>
      <c r="J67" s="141"/>
    </row>
    <row r="68" spans="2:10" ht="16.5" hidden="1" customHeight="1" x14ac:dyDescent="0.25">
      <c r="B68" s="139">
        <v>59</v>
      </c>
      <c r="C68" s="139">
        <v>11002</v>
      </c>
      <c r="D68" s="144" t="s">
        <v>462</v>
      </c>
      <c r="E68" s="132" t="s">
        <v>548</v>
      </c>
      <c r="F68" s="139" t="s">
        <v>463</v>
      </c>
      <c r="G68" s="140" t="s">
        <v>565</v>
      </c>
      <c r="H68" s="141"/>
      <c r="I68" s="140" t="s">
        <v>522</v>
      </c>
      <c r="J68" s="141"/>
    </row>
    <row r="69" spans="2:10" ht="16.5" hidden="1" customHeight="1" x14ac:dyDescent="0.25">
      <c r="B69" s="139">
        <v>60</v>
      </c>
      <c r="C69" s="139">
        <v>11002</v>
      </c>
      <c r="D69" s="144" t="s">
        <v>462</v>
      </c>
      <c r="E69" s="132" t="s">
        <v>548</v>
      </c>
      <c r="F69" s="139" t="s">
        <v>463</v>
      </c>
      <c r="G69" s="140" t="s">
        <v>566</v>
      </c>
      <c r="H69" s="141"/>
      <c r="I69" s="140" t="s">
        <v>523</v>
      </c>
      <c r="J69" s="141"/>
    </row>
    <row r="70" spans="2:10" ht="16.5" hidden="1" customHeight="1" x14ac:dyDescent="0.25">
      <c r="B70" s="139">
        <v>61</v>
      </c>
      <c r="C70" s="139">
        <v>11002</v>
      </c>
      <c r="D70" s="144" t="s">
        <v>462</v>
      </c>
      <c r="E70" s="132" t="s">
        <v>548</v>
      </c>
      <c r="F70" s="139" t="s">
        <v>463</v>
      </c>
      <c r="G70" s="140" t="s">
        <v>567</v>
      </c>
      <c r="H70" s="141"/>
      <c r="I70" s="140" t="s">
        <v>524</v>
      </c>
      <c r="J70" s="141"/>
    </row>
    <row r="71" spans="2:10" ht="16.5" hidden="1" customHeight="1" x14ac:dyDescent="0.25">
      <c r="B71" s="139">
        <v>62</v>
      </c>
      <c r="C71" s="139">
        <v>11002</v>
      </c>
      <c r="D71" s="144" t="s">
        <v>462</v>
      </c>
      <c r="E71" s="132" t="s">
        <v>548</v>
      </c>
      <c r="F71" s="139" t="s">
        <v>463</v>
      </c>
      <c r="G71" s="140" t="s">
        <v>568</v>
      </c>
      <c r="H71" s="141"/>
      <c r="I71" s="140" t="s">
        <v>525</v>
      </c>
      <c r="J71" s="141"/>
    </row>
    <row r="72" spans="2:10" ht="16.5" hidden="1" customHeight="1" x14ac:dyDescent="0.25">
      <c r="B72" s="139">
        <v>63</v>
      </c>
      <c r="C72" s="139">
        <v>11002</v>
      </c>
      <c r="D72" s="144" t="s">
        <v>462</v>
      </c>
      <c r="E72" s="132" t="s">
        <v>548</v>
      </c>
      <c r="F72" s="139" t="s">
        <v>463</v>
      </c>
      <c r="G72" s="140" t="s">
        <v>569</v>
      </c>
      <c r="H72" s="141"/>
      <c r="I72" s="140" t="s">
        <v>526</v>
      </c>
      <c r="J72" s="141"/>
    </row>
    <row r="73" spans="2:10" ht="16.5" hidden="1" customHeight="1" x14ac:dyDescent="0.25">
      <c r="B73" s="139">
        <v>64</v>
      </c>
      <c r="C73" s="139">
        <v>11002</v>
      </c>
      <c r="D73" s="144" t="s">
        <v>462</v>
      </c>
      <c r="E73" s="132" t="s">
        <v>548</v>
      </c>
      <c r="F73" s="139" t="s">
        <v>463</v>
      </c>
      <c r="G73" s="140" t="s">
        <v>570</v>
      </c>
      <c r="H73" s="141"/>
      <c r="I73" s="140" t="s">
        <v>527</v>
      </c>
      <c r="J73" s="141"/>
    </row>
    <row r="74" spans="2:10" ht="16.5" hidden="1" customHeight="1" x14ac:dyDescent="0.25">
      <c r="B74" s="139">
        <v>65</v>
      </c>
      <c r="C74" s="139">
        <v>11002</v>
      </c>
      <c r="D74" s="144" t="s">
        <v>462</v>
      </c>
      <c r="E74" s="132" t="s">
        <v>548</v>
      </c>
      <c r="F74" s="139" t="s">
        <v>463</v>
      </c>
      <c r="G74" s="140" t="s">
        <v>571</v>
      </c>
      <c r="H74" s="141"/>
      <c r="I74" s="140" t="s">
        <v>528</v>
      </c>
      <c r="J74" s="141"/>
    </row>
    <row r="75" spans="2:10" ht="16.5" hidden="1" customHeight="1" x14ac:dyDescent="0.25">
      <c r="B75" s="139">
        <v>66</v>
      </c>
      <c r="C75" s="139">
        <v>11002</v>
      </c>
      <c r="D75" s="144" t="s">
        <v>462</v>
      </c>
      <c r="E75" s="132" t="s">
        <v>548</v>
      </c>
      <c r="F75" s="139" t="s">
        <v>463</v>
      </c>
      <c r="G75" s="140" t="s">
        <v>572</v>
      </c>
      <c r="H75" s="141"/>
      <c r="I75" s="140" t="s">
        <v>529</v>
      </c>
      <c r="J75" s="141"/>
    </row>
    <row r="76" spans="2:10" ht="16.5" hidden="1" customHeight="1" x14ac:dyDescent="0.25">
      <c r="B76" s="139">
        <v>67</v>
      </c>
      <c r="C76" s="139">
        <v>11002</v>
      </c>
      <c r="D76" s="144" t="s">
        <v>462</v>
      </c>
      <c r="E76" s="132" t="s">
        <v>548</v>
      </c>
      <c r="F76" s="139" t="s">
        <v>463</v>
      </c>
      <c r="G76" s="140" t="s">
        <v>573</v>
      </c>
      <c r="H76" s="141"/>
      <c r="I76" s="140" t="s">
        <v>530</v>
      </c>
      <c r="J76" s="141"/>
    </row>
    <row r="77" spans="2:10" ht="16.5" hidden="1" customHeight="1" x14ac:dyDescent="0.25">
      <c r="B77" s="139">
        <v>68</v>
      </c>
      <c r="C77" s="139">
        <v>11002</v>
      </c>
      <c r="D77" s="144" t="s">
        <v>462</v>
      </c>
      <c r="E77" s="132" t="s">
        <v>548</v>
      </c>
      <c r="F77" s="139" t="s">
        <v>463</v>
      </c>
      <c r="G77" s="140" t="s">
        <v>574</v>
      </c>
      <c r="H77" s="141"/>
      <c r="I77" s="140" t="s">
        <v>531</v>
      </c>
      <c r="J77" s="141"/>
    </row>
    <row r="78" spans="2:10" ht="16.5" hidden="1" customHeight="1" x14ac:dyDescent="0.25">
      <c r="B78" s="139">
        <v>69</v>
      </c>
      <c r="C78" s="139">
        <v>11002</v>
      </c>
      <c r="D78" s="144" t="s">
        <v>462</v>
      </c>
      <c r="E78" s="132" t="s">
        <v>548</v>
      </c>
      <c r="F78" s="139" t="s">
        <v>463</v>
      </c>
      <c r="G78" s="140" t="s">
        <v>575</v>
      </c>
      <c r="H78" s="141"/>
      <c r="I78" s="140" t="s">
        <v>532</v>
      </c>
      <c r="J78" s="141"/>
    </row>
    <row r="79" spans="2:10" ht="16.5" hidden="1" customHeight="1" x14ac:dyDescent="0.25">
      <c r="B79" s="139">
        <v>70</v>
      </c>
      <c r="C79" s="139">
        <v>11002</v>
      </c>
      <c r="D79" s="144" t="s">
        <v>462</v>
      </c>
      <c r="E79" s="132" t="s">
        <v>548</v>
      </c>
      <c r="F79" s="139" t="s">
        <v>463</v>
      </c>
      <c r="G79" s="140" t="s">
        <v>576</v>
      </c>
      <c r="H79" s="141"/>
      <c r="I79" s="140" t="s">
        <v>533</v>
      </c>
      <c r="J79" s="141"/>
    </row>
    <row r="80" spans="2:10" ht="16.5" hidden="1" customHeight="1" x14ac:dyDescent="0.25">
      <c r="B80" s="139">
        <v>71</v>
      </c>
      <c r="C80" s="139">
        <v>11002</v>
      </c>
      <c r="D80" s="144" t="s">
        <v>462</v>
      </c>
      <c r="E80" s="132" t="s">
        <v>548</v>
      </c>
      <c r="F80" s="139" t="s">
        <v>463</v>
      </c>
      <c r="G80" s="140" t="s">
        <v>577</v>
      </c>
      <c r="H80" s="141"/>
      <c r="I80" s="140" t="s">
        <v>534</v>
      </c>
      <c r="J80" s="141"/>
    </row>
    <row r="81" spans="2:13" ht="16.5" hidden="1" customHeight="1" x14ac:dyDescent="0.25">
      <c r="B81" s="139">
        <v>72</v>
      </c>
      <c r="C81" s="139">
        <v>11002</v>
      </c>
      <c r="D81" s="144" t="s">
        <v>462</v>
      </c>
      <c r="E81" s="132" t="s">
        <v>548</v>
      </c>
      <c r="F81" s="139" t="s">
        <v>463</v>
      </c>
      <c r="G81" s="140" t="s">
        <v>578</v>
      </c>
      <c r="H81" s="141"/>
      <c r="I81" s="140" t="s">
        <v>535</v>
      </c>
      <c r="J81" s="141"/>
    </row>
    <row r="82" spans="2:13" ht="16.5" hidden="1" customHeight="1" x14ac:dyDescent="0.25">
      <c r="B82" s="139">
        <v>73</v>
      </c>
      <c r="C82" s="139">
        <v>11002</v>
      </c>
      <c r="D82" s="144" t="s">
        <v>462</v>
      </c>
      <c r="E82" s="132" t="s">
        <v>548</v>
      </c>
      <c r="F82" s="139" t="s">
        <v>463</v>
      </c>
      <c r="G82" s="140" t="s">
        <v>579</v>
      </c>
      <c r="H82" s="141"/>
      <c r="I82" s="140" t="s">
        <v>536</v>
      </c>
      <c r="J82" s="141"/>
    </row>
    <row r="83" spans="2:13" ht="16.5" hidden="1" customHeight="1" x14ac:dyDescent="0.25">
      <c r="B83" s="139">
        <v>74</v>
      </c>
      <c r="C83" s="139">
        <v>11002</v>
      </c>
      <c r="D83" s="144" t="s">
        <v>462</v>
      </c>
      <c r="E83" s="132" t="s">
        <v>548</v>
      </c>
      <c r="F83" s="139" t="s">
        <v>463</v>
      </c>
      <c r="G83" s="140" t="s">
        <v>580</v>
      </c>
      <c r="H83" s="141"/>
      <c r="I83" s="140" t="s">
        <v>537</v>
      </c>
      <c r="J83" s="141"/>
    </row>
    <row r="84" spans="2:13" ht="16.5" hidden="1" customHeight="1" x14ac:dyDescent="0.25">
      <c r="B84" s="129">
        <v>75</v>
      </c>
      <c r="C84" s="129">
        <v>11002</v>
      </c>
      <c r="D84" s="144" t="s">
        <v>462</v>
      </c>
      <c r="E84" s="132" t="s">
        <v>548</v>
      </c>
      <c r="F84" s="129" t="s">
        <v>504</v>
      </c>
      <c r="G84" s="130" t="s">
        <v>581</v>
      </c>
      <c r="H84" s="137" t="s">
        <v>627</v>
      </c>
      <c r="I84" s="130" t="s">
        <v>538</v>
      </c>
      <c r="J84" s="137"/>
    </row>
    <row r="85" spans="2:13" ht="17.45" hidden="1" customHeight="1" x14ac:dyDescent="0.25">
      <c r="B85" s="129">
        <v>76</v>
      </c>
      <c r="C85" s="129">
        <v>11002</v>
      </c>
      <c r="D85" s="144" t="s">
        <v>462</v>
      </c>
      <c r="E85" s="132" t="s">
        <v>548</v>
      </c>
      <c r="F85" s="129" t="s">
        <v>504</v>
      </c>
      <c r="G85" s="130" t="s">
        <v>582</v>
      </c>
      <c r="H85" s="137" t="s">
        <v>628</v>
      </c>
      <c r="I85" s="130" t="s">
        <v>539</v>
      </c>
      <c r="J85" s="137"/>
    </row>
    <row r="86" spans="2:13" ht="16.5" hidden="1" customHeight="1" x14ac:dyDescent="0.25">
      <c r="B86" s="139">
        <v>77</v>
      </c>
      <c r="C86" s="139">
        <v>11002</v>
      </c>
      <c r="D86" s="144" t="s">
        <v>462</v>
      </c>
      <c r="E86" s="132" t="s">
        <v>548</v>
      </c>
      <c r="F86" s="139" t="s">
        <v>504</v>
      </c>
      <c r="G86" s="140" t="s">
        <v>583</v>
      </c>
      <c r="H86" s="141"/>
      <c r="I86" s="140" t="s">
        <v>540</v>
      </c>
      <c r="J86" s="141"/>
    </row>
    <row r="87" spans="2:13" ht="16.5" hidden="1" customHeight="1" x14ac:dyDescent="0.25">
      <c r="B87" s="139">
        <v>78</v>
      </c>
      <c r="C87" s="139">
        <v>11002</v>
      </c>
      <c r="D87" s="144" t="s">
        <v>462</v>
      </c>
      <c r="E87" s="132" t="s">
        <v>548</v>
      </c>
      <c r="F87" s="139" t="s">
        <v>504</v>
      </c>
      <c r="G87" s="140" t="s">
        <v>584</v>
      </c>
      <c r="H87" s="141"/>
      <c r="I87" s="140" t="s">
        <v>541</v>
      </c>
      <c r="J87" s="141"/>
    </row>
    <row r="88" spans="2:13" ht="16.5" hidden="1" customHeight="1" x14ac:dyDescent="0.25">
      <c r="B88" s="139">
        <v>79</v>
      </c>
      <c r="C88" s="139">
        <v>11002</v>
      </c>
      <c r="D88" s="144" t="s">
        <v>462</v>
      </c>
      <c r="E88" s="132" t="s">
        <v>548</v>
      </c>
      <c r="F88" s="139" t="s">
        <v>504</v>
      </c>
      <c r="G88" s="140" t="s">
        <v>585</v>
      </c>
      <c r="H88" s="141"/>
      <c r="I88" s="140" t="s">
        <v>542</v>
      </c>
      <c r="J88" s="141"/>
    </row>
    <row r="89" spans="2:13" ht="16.5" hidden="1" customHeight="1" x14ac:dyDescent="0.25">
      <c r="B89" s="129">
        <v>80</v>
      </c>
      <c r="C89" s="129">
        <v>11002</v>
      </c>
      <c r="D89" s="144" t="s">
        <v>462</v>
      </c>
      <c r="E89" s="132" t="s">
        <v>548</v>
      </c>
      <c r="F89" s="129" t="s">
        <v>505</v>
      </c>
      <c r="G89" s="130" t="s">
        <v>586</v>
      </c>
      <c r="H89" s="137" t="s">
        <v>629</v>
      </c>
      <c r="I89" s="130" t="s">
        <v>543</v>
      </c>
      <c r="J89" s="137"/>
    </row>
    <row r="90" spans="2:13" ht="16.5" hidden="1" customHeight="1" x14ac:dyDescent="0.25">
      <c r="B90" s="129">
        <v>81</v>
      </c>
      <c r="C90" s="129">
        <v>11002</v>
      </c>
      <c r="D90" s="144" t="s">
        <v>462</v>
      </c>
      <c r="E90" s="132" t="s">
        <v>548</v>
      </c>
      <c r="F90" s="129" t="s">
        <v>505</v>
      </c>
      <c r="G90" s="130" t="s">
        <v>587</v>
      </c>
      <c r="H90" s="137" t="s">
        <v>630</v>
      </c>
      <c r="I90" s="130" t="s">
        <v>544</v>
      </c>
      <c r="J90" s="137"/>
    </row>
    <row r="91" spans="2:13" ht="16.5" hidden="1" customHeight="1" x14ac:dyDescent="0.25">
      <c r="B91" s="139">
        <v>82</v>
      </c>
      <c r="C91" s="139">
        <v>11002</v>
      </c>
      <c r="D91" s="144" t="s">
        <v>462</v>
      </c>
      <c r="E91" s="132" t="s">
        <v>548</v>
      </c>
      <c r="F91" s="139" t="s">
        <v>505</v>
      </c>
      <c r="G91" s="140" t="s">
        <v>588</v>
      </c>
      <c r="H91" s="141"/>
      <c r="I91" s="140" t="s">
        <v>545</v>
      </c>
      <c r="J91" s="141"/>
    </row>
    <row r="92" spans="2:13" ht="16.5" hidden="1" customHeight="1" x14ac:dyDescent="0.25">
      <c r="B92" s="139">
        <v>83</v>
      </c>
      <c r="C92" s="139">
        <v>11002</v>
      </c>
      <c r="D92" s="144" t="s">
        <v>462</v>
      </c>
      <c r="E92" s="132" t="s">
        <v>548</v>
      </c>
      <c r="F92" s="139" t="s">
        <v>505</v>
      </c>
      <c r="G92" s="140" t="s">
        <v>589</v>
      </c>
      <c r="H92" s="141"/>
      <c r="I92" s="140" t="s">
        <v>546</v>
      </c>
      <c r="J92" s="141"/>
    </row>
    <row r="93" spans="2:13" ht="16.5" hidden="1" customHeight="1" x14ac:dyDescent="0.25">
      <c r="B93" s="139">
        <v>84</v>
      </c>
      <c r="C93" s="139">
        <v>11002</v>
      </c>
      <c r="D93" s="144" t="s">
        <v>462</v>
      </c>
      <c r="E93" s="132" t="s">
        <v>548</v>
      </c>
      <c r="F93" s="139" t="s">
        <v>505</v>
      </c>
      <c r="G93" s="140" t="s">
        <v>590</v>
      </c>
      <c r="H93" s="141"/>
      <c r="I93" s="140" t="s">
        <v>547</v>
      </c>
      <c r="J93" s="141"/>
    </row>
    <row r="94" spans="2:13" ht="16.5" customHeight="1" x14ac:dyDescent="0.25">
      <c r="B94" s="129">
        <v>85</v>
      </c>
      <c r="C94" s="129">
        <v>11001</v>
      </c>
      <c r="D94" s="143" t="s">
        <v>634</v>
      </c>
      <c r="E94" s="128" t="s">
        <v>465</v>
      </c>
      <c r="F94" s="129" t="s">
        <v>463</v>
      </c>
      <c r="G94" s="130" t="s">
        <v>760</v>
      </c>
      <c r="H94" s="137" t="s">
        <v>636</v>
      </c>
      <c r="I94" s="130" t="s">
        <v>506</v>
      </c>
      <c r="J94" s="137" t="s">
        <v>464</v>
      </c>
      <c r="L94" s="122">
        <v>11001</v>
      </c>
      <c r="M94" s="122" t="str">
        <f>"%DB"&amp;L94&amp;".DBX"&amp;G94</f>
        <v>%DB11001.DBX94.0</v>
      </c>
    </row>
    <row r="95" spans="2:13" ht="16.5" customHeight="1" x14ac:dyDescent="0.25">
      <c r="B95" s="129">
        <v>86</v>
      </c>
      <c r="C95" s="129">
        <v>11001</v>
      </c>
      <c r="D95" s="143" t="s">
        <v>634</v>
      </c>
      <c r="E95" s="128" t="s">
        <v>465</v>
      </c>
      <c r="F95" s="129" t="s">
        <v>463</v>
      </c>
      <c r="G95" s="130" t="s">
        <v>761</v>
      </c>
      <c r="H95" s="137" t="s">
        <v>637</v>
      </c>
      <c r="I95" s="130" t="s">
        <v>507</v>
      </c>
      <c r="J95" s="137" t="s">
        <v>635</v>
      </c>
      <c r="L95" s="122">
        <v>11001</v>
      </c>
      <c r="M95" s="122" t="str">
        <f>"%DB"&amp;L95&amp;".DBX"&amp;G95</f>
        <v>%DB11001.DBX96.0</v>
      </c>
    </row>
    <row r="96" spans="2:13" ht="16.5" customHeight="1" x14ac:dyDescent="0.25">
      <c r="B96" s="129">
        <v>87</v>
      </c>
      <c r="C96" s="129">
        <v>11001</v>
      </c>
      <c r="D96" s="143" t="s">
        <v>634</v>
      </c>
      <c r="E96" s="128" t="s">
        <v>465</v>
      </c>
      <c r="F96" s="129" t="s">
        <v>463</v>
      </c>
      <c r="G96" s="130" t="s">
        <v>762</v>
      </c>
      <c r="H96" s="137" t="s">
        <v>837</v>
      </c>
      <c r="I96" s="130" t="s">
        <v>508</v>
      </c>
      <c r="J96" s="137" t="s">
        <v>838</v>
      </c>
      <c r="L96" s="122">
        <v>11001</v>
      </c>
      <c r="M96" s="122" t="str">
        <f t="shared" ref="M96:M152" si="0">"%db"&amp;L96&amp;".dbx"&amp;G96</f>
        <v>%db11001.dbx98.0</v>
      </c>
    </row>
    <row r="97" spans="2:13" ht="16.5" customHeight="1" x14ac:dyDescent="0.25">
      <c r="B97" s="129">
        <v>88</v>
      </c>
      <c r="C97" s="129">
        <v>11001</v>
      </c>
      <c r="D97" s="143" t="s">
        <v>634</v>
      </c>
      <c r="E97" s="128" t="s">
        <v>465</v>
      </c>
      <c r="F97" s="129" t="s">
        <v>463</v>
      </c>
      <c r="G97" s="130" t="s">
        <v>249</v>
      </c>
      <c r="H97" s="137" t="s">
        <v>695</v>
      </c>
      <c r="I97" s="130" t="s">
        <v>509</v>
      </c>
      <c r="J97" s="137" t="s">
        <v>696</v>
      </c>
      <c r="L97" s="122">
        <v>11001</v>
      </c>
      <c r="M97" s="122" t="str">
        <f t="shared" si="0"/>
        <v>%db11001.dbx100.0</v>
      </c>
    </row>
    <row r="98" spans="2:13" ht="16.5" customHeight="1" x14ac:dyDescent="0.25">
      <c r="B98" s="129">
        <v>89</v>
      </c>
      <c r="C98" s="129">
        <v>11001</v>
      </c>
      <c r="D98" s="143" t="s">
        <v>634</v>
      </c>
      <c r="E98" s="128" t="s">
        <v>465</v>
      </c>
      <c r="F98" s="129" t="s">
        <v>463</v>
      </c>
      <c r="G98" s="130" t="s">
        <v>763</v>
      </c>
      <c r="H98" s="137" t="s">
        <v>691</v>
      </c>
      <c r="I98" s="130" t="s">
        <v>510</v>
      </c>
      <c r="J98" s="137" t="s">
        <v>692</v>
      </c>
      <c r="L98" s="122">
        <v>11001</v>
      </c>
      <c r="M98" s="122" t="str">
        <f t="shared" si="0"/>
        <v>%db11001.dbx102.0</v>
      </c>
    </row>
    <row r="99" spans="2:13" ht="16.5" customHeight="1" x14ac:dyDescent="0.25">
      <c r="B99" s="129">
        <v>90</v>
      </c>
      <c r="C99" s="129">
        <v>11001</v>
      </c>
      <c r="D99" s="143" t="s">
        <v>634</v>
      </c>
      <c r="E99" s="128" t="s">
        <v>465</v>
      </c>
      <c r="F99" s="129" t="s">
        <v>463</v>
      </c>
      <c r="G99" s="130" t="s">
        <v>764</v>
      </c>
      <c r="H99" s="137" t="s">
        <v>737</v>
      </c>
      <c r="I99" s="130" t="s">
        <v>511</v>
      </c>
      <c r="J99" s="137" t="s">
        <v>738</v>
      </c>
      <c r="L99" s="122">
        <v>11001</v>
      </c>
      <c r="M99" s="122" t="str">
        <f t="shared" si="0"/>
        <v>%db11001.dbx104.0</v>
      </c>
    </row>
    <row r="100" spans="2:13" ht="16.5" customHeight="1" x14ac:dyDescent="0.25">
      <c r="B100" s="129">
        <v>91</v>
      </c>
      <c r="C100" s="129">
        <v>11001</v>
      </c>
      <c r="D100" s="143" t="s">
        <v>634</v>
      </c>
      <c r="E100" s="128" t="s">
        <v>465</v>
      </c>
      <c r="F100" s="129" t="s">
        <v>463</v>
      </c>
      <c r="G100" s="130" t="s">
        <v>765</v>
      </c>
      <c r="H100" s="137" t="s">
        <v>739</v>
      </c>
      <c r="I100" s="130" t="s">
        <v>512</v>
      </c>
      <c r="J100" s="137" t="s">
        <v>741</v>
      </c>
      <c r="L100" s="122">
        <v>11001</v>
      </c>
      <c r="M100" s="122" t="str">
        <f t="shared" si="0"/>
        <v>%db11001.dbx106.0</v>
      </c>
    </row>
    <row r="101" spans="2:13" ht="16.5" customHeight="1" x14ac:dyDescent="0.25">
      <c r="B101" s="129">
        <v>92</v>
      </c>
      <c r="C101" s="129">
        <v>11001</v>
      </c>
      <c r="D101" s="143" t="s">
        <v>634</v>
      </c>
      <c r="E101" s="128" t="s">
        <v>465</v>
      </c>
      <c r="F101" s="129" t="s">
        <v>463</v>
      </c>
      <c r="G101" s="130" t="s">
        <v>766</v>
      </c>
      <c r="H101" s="137" t="s">
        <v>740</v>
      </c>
      <c r="I101" s="130" t="s">
        <v>513</v>
      </c>
      <c r="J101" s="137" t="s">
        <v>742</v>
      </c>
      <c r="L101" s="122">
        <v>11001</v>
      </c>
      <c r="M101" s="122" t="str">
        <f t="shared" si="0"/>
        <v>%db11001.dbx108.0</v>
      </c>
    </row>
    <row r="102" spans="2:13" ht="16.5" customHeight="1" x14ac:dyDescent="0.25">
      <c r="B102" s="129">
        <v>93</v>
      </c>
      <c r="C102" s="129">
        <v>11001</v>
      </c>
      <c r="D102" s="143" t="s">
        <v>634</v>
      </c>
      <c r="E102" s="128" t="s">
        <v>465</v>
      </c>
      <c r="F102" s="129" t="s">
        <v>463</v>
      </c>
      <c r="G102" s="130" t="s">
        <v>767</v>
      </c>
      <c r="H102" s="137"/>
      <c r="I102" s="130" t="s">
        <v>514</v>
      </c>
      <c r="J102" s="137"/>
      <c r="L102" s="122">
        <v>11001</v>
      </c>
      <c r="M102" s="122" t="str">
        <f t="shared" si="0"/>
        <v>%db11001.dbx110.0</v>
      </c>
    </row>
    <row r="103" spans="2:13" ht="16.5" customHeight="1" x14ac:dyDescent="0.25">
      <c r="B103" s="139">
        <v>94</v>
      </c>
      <c r="C103" s="139">
        <v>11001</v>
      </c>
      <c r="D103" s="143" t="s">
        <v>634</v>
      </c>
      <c r="E103" s="128" t="s">
        <v>465</v>
      </c>
      <c r="F103" s="139" t="s">
        <v>463</v>
      </c>
      <c r="G103" s="140" t="s">
        <v>768</v>
      </c>
      <c r="H103" s="141" t="s">
        <v>734</v>
      </c>
      <c r="I103" s="140" t="s">
        <v>515</v>
      </c>
      <c r="J103" s="141"/>
      <c r="L103" s="122">
        <v>11001</v>
      </c>
      <c r="M103" s="122" t="str">
        <f t="shared" si="0"/>
        <v>%db11001.dbx112.0</v>
      </c>
    </row>
    <row r="104" spans="2:13" ht="16.5" customHeight="1" x14ac:dyDescent="0.25">
      <c r="B104" s="139">
        <v>95</v>
      </c>
      <c r="C104" s="139">
        <v>11001</v>
      </c>
      <c r="D104" s="143" t="s">
        <v>634</v>
      </c>
      <c r="E104" s="128" t="s">
        <v>465</v>
      </c>
      <c r="F104" s="139" t="s">
        <v>463</v>
      </c>
      <c r="G104" s="140" t="s">
        <v>769</v>
      </c>
      <c r="H104" s="141" t="s">
        <v>826</v>
      </c>
      <c r="I104" s="140" t="s">
        <v>516</v>
      </c>
      <c r="J104" s="141"/>
      <c r="L104" s="122">
        <v>11001</v>
      </c>
      <c r="M104" s="122" t="str">
        <f t="shared" si="0"/>
        <v>%db11001.dbx114.0</v>
      </c>
    </row>
    <row r="105" spans="2:13" ht="16.5" customHeight="1" x14ac:dyDescent="0.25">
      <c r="B105" s="139">
        <v>96</v>
      </c>
      <c r="C105" s="139">
        <v>11001</v>
      </c>
      <c r="D105" s="143" t="s">
        <v>634</v>
      </c>
      <c r="E105" s="128" t="s">
        <v>465</v>
      </c>
      <c r="F105" s="139" t="s">
        <v>463</v>
      </c>
      <c r="G105" s="140" t="s">
        <v>770</v>
      </c>
      <c r="H105" s="141" t="s">
        <v>827</v>
      </c>
      <c r="I105" s="140" t="s">
        <v>517</v>
      </c>
      <c r="J105" s="141"/>
      <c r="L105" s="122">
        <v>11001</v>
      </c>
      <c r="M105" s="122" t="str">
        <f t="shared" si="0"/>
        <v>%db11001.dbx116.0</v>
      </c>
    </row>
    <row r="106" spans="2:13" ht="16.5" customHeight="1" x14ac:dyDescent="0.25">
      <c r="B106" s="129">
        <v>97</v>
      </c>
      <c r="C106" s="129">
        <v>11001</v>
      </c>
      <c r="D106" s="143" t="s">
        <v>634</v>
      </c>
      <c r="E106" s="128" t="s">
        <v>465</v>
      </c>
      <c r="F106" s="129" t="s">
        <v>463</v>
      </c>
      <c r="G106" s="130" t="s">
        <v>771</v>
      </c>
      <c r="H106" s="137" t="s">
        <v>693</v>
      </c>
      <c r="I106" s="130" t="s">
        <v>518</v>
      </c>
      <c r="J106" s="137" t="s">
        <v>735</v>
      </c>
      <c r="L106" s="122">
        <v>11001</v>
      </c>
      <c r="M106" s="122" t="str">
        <f t="shared" si="0"/>
        <v>%db11001.dbx118.0</v>
      </c>
    </row>
    <row r="107" spans="2:13" ht="16.5" customHeight="1" x14ac:dyDescent="0.25">
      <c r="B107" s="129">
        <v>98</v>
      </c>
      <c r="C107" s="129">
        <v>11001</v>
      </c>
      <c r="D107" s="143" t="s">
        <v>634</v>
      </c>
      <c r="E107" s="128" t="s">
        <v>465</v>
      </c>
      <c r="F107" s="129" t="s">
        <v>463</v>
      </c>
      <c r="G107" s="130" t="s">
        <v>772</v>
      </c>
      <c r="H107" s="197" t="s">
        <v>855</v>
      </c>
      <c r="I107" s="130" t="s">
        <v>519</v>
      </c>
      <c r="J107" s="137" t="s">
        <v>856</v>
      </c>
      <c r="L107" s="122">
        <v>11001</v>
      </c>
      <c r="M107" s="122" t="str">
        <f t="shared" si="0"/>
        <v>%db11001.dbx120.0</v>
      </c>
    </row>
    <row r="108" spans="2:13" ht="16.5" customHeight="1" x14ac:dyDescent="0.25">
      <c r="B108" s="129">
        <v>99</v>
      </c>
      <c r="C108" s="129">
        <v>11001</v>
      </c>
      <c r="D108" s="143" t="s">
        <v>634</v>
      </c>
      <c r="E108" s="128" t="s">
        <v>465</v>
      </c>
      <c r="F108" s="129" t="s">
        <v>463</v>
      </c>
      <c r="G108" s="130" t="s">
        <v>773</v>
      </c>
      <c r="H108" s="137" t="s">
        <v>694</v>
      </c>
      <c r="I108" s="130" t="s">
        <v>520</v>
      </c>
      <c r="J108" s="137" t="s">
        <v>736</v>
      </c>
      <c r="L108" s="122">
        <v>11001</v>
      </c>
      <c r="M108" s="122" t="str">
        <f t="shared" si="0"/>
        <v>%db11001.dbx122.0</v>
      </c>
    </row>
    <row r="109" spans="2:13" ht="16.5" customHeight="1" x14ac:dyDescent="0.25">
      <c r="B109" s="129">
        <v>100</v>
      </c>
      <c r="C109" s="129">
        <v>11001</v>
      </c>
      <c r="D109" s="143" t="s">
        <v>634</v>
      </c>
      <c r="E109" s="128" t="s">
        <v>465</v>
      </c>
      <c r="F109" s="129" t="s">
        <v>463</v>
      </c>
      <c r="G109" s="130" t="s">
        <v>774</v>
      </c>
      <c r="H109" s="137" t="s">
        <v>853</v>
      </c>
      <c r="I109" s="130" t="s">
        <v>521</v>
      </c>
      <c r="J109" s="137" t="s">
        <v>854</v>
      </c>
      <c r="L109" s="122">
        <v>11001</v>
      </c>
      <c r="M109" s="122" t="str">
        <f t="shared" si="0"/>
        <v>%db11001.dbx124.0</v>
      </c>
    </row>
    <row r="110" spans="2:13" ht="16.5" customHeight="1" x14ac:dyDescent="0.25">
      <c r="B110" s="139">
        <v>101</v>
      </c>
      <c r="C110" s="139">
        <v>11001</v>
      </c>
      <c r="D110" s="143" t="s">
        <v>634</v>
      </c>
      <c r="E110" s="128" t="s">
        <v>465</v>
      </c>
      <c r="F110" s="139" t="s">
        <v>463</v>
      </c>
      <c r="G110" s="140" t="s">
        <v>775</v>
      </c>
      <c r="H110" s="141" t="s">
        <v>709</v>
      </c>
      <c r="I110" s="140" t="s">
        <v>522</v>
      </c>
      <c r="J110" s="141"/>
      <c r="L110" s="122">
        <v>11001</v>
      </c>
      <c r="M110" s="122" t="str">
        <f t="shared" si="0"/>
        <v>%db11001.dbx126.0</v>
      </c>
    </row>
    <row r="111" spans="2:13" ht="16.5" customHeight="1" x14ac:dyDescent="0.25">
      <c r="B111" s="139">
        <v>102</v>
      </c>
      <c r="C111" s="139">
        <v>11001</v>
      </c>
      <c r="D111" s="143" t="s">
        <v>634</v>
      </c>
      <c r="E111" s="128" t="s">
        <v>465</v>
      </c>
      <c r="F111" s="139" t="s">
        <v>463</v>
      </c>
      <c r="G111" s="140" t="s">
        <v>776</v>
      </c>
      <c r="H111" s="141" t="s">
        <v>710</v>
      </c>
      <c r="I111" s="140" t="s">
        <v>523</v>
      </c>
      <c r="J111" s="141"/>
      <c r="L111" s="122">
        <v>11001</v>
      </c>
      <c r="M111" s="122" t="str">
        <f t="shared" si="0"/>
        <v>%db11001.dbx128.0</v>
      </c>
    </row>
    <row r="112" spans="2:13" ht="16.5" customHeight="1" x14ac:dyDescent="0.25">
      <c r="B112" s="139">
        <v>103</v>
      </c>
      <c r="C112" s="139">
        <v>11001</v>
      </c>
      <c r="D112" s="143" t="s">
        <v>634</v>
      </c>
      <c r="E112" s="128" t="s">
        <v>465</v>
      </c>
      <c r="F112" s="139" t="s">
        <v>463</v>
      </c>
      <c r="G112" s="140" t="s">
        <v>777</v>
      </c>
      <c r="H112" s="141" t="s">
        <v>711</v>
      </c>
      <c r="I112" s="140" t="s">
        <v>524</v>
      </c>
      <c r="J112" s="141"/>
      <c r="L112" s="122">
        <v>11001</v>
      </c>
      <c r="M112" s="122" t="str">
        <f t="shared" si="0"/>
        <v>%db11001.dbx130.0</v>
      </c>
    </row>
    <row r="113" spans="2:13" ht="16.5" customHeight="1" x14ac:dyDescent="0.25">
      <c r="B113" s="129">
        <v>104</v>
      </c>
      <c r="C113" s="129">
        <v>11001</v>
      </c>
      <c r="D113" s="143" t="s">
        <v>634</v>
      </c>
      <c r="E113" s="128" t="s">
        <v>465</v>
      </c>
      <c r="F113" s="129" t="s">
        <v>463</v>
      </c>
      <c r="G113" s="130" t="s">
        <v>778</v>
      </c>
      <c r="H113" s="137" t="s">
        <v>697</v>
      </c>
      <c r="I113" s="130" t="s">
        <v>525</v>
      </c>
      <c r="J113" s="137" t="s">
        <v>698</v>
      </c>
      <c r="L113" s="122">
        <v>11001</v>
      </c>
      <c r="M113" s="122" t="str">
        <f t="shared" si="0"/>
        <v>%db11001.dbx132.0</v>
      </c>
    </row>
    <row r="114" spans="2:13" ht="16.5" customHeight="1" x14ac:dyDescent="0.25">
      <c r="B114" s="139">
        <v>105</v>
      </c>
      <c r="C114" s="139">
        <v>11001</v>
      </c>
      <c r="D114" s="143" t="s">
        <v>634</v>
      </c>
      <c r="E114" s="128" t="s">
        <v>465</v>
      </c>
      <c r="F114" s="139" t="s">
        <v>463</v>
      </c>
      <c r="G114" s="140" t="s">
        <v>779</v>
      </c>
      <c r="H114" s="141" t="s">
        <v>712</v>
      </c>
      <c r="I114" s="140" t="s">
        <v>526</v>
      </c>
      <c r="J114" s="141"/>
      <c r="L114" s="122">
        <v>11001</v>
      </c>
      <c r="M114" s="122" t="str">
        <f t="shared" si="0"/>
        <v>%db11001.dbx134.0</v>
      </c>
    </row>
    <row r="115" spans="2:13" ht="16.5" customHeight="1" x14ac:dyDescent="0.25">
      <c r="B115" s="139">
        <v>106</v>
      </c>
      <c r="C115" s="139">
        <v>11001</v>
      </c>
      <c r="D115" s="143" t="s">
        <v>634</v>
      </c>
      <c r="E115" s="128" t="s">
        <v>465</v>
      </c>
      <c r="F115" s="139" t="s">
        <v>463</v>
      </c>
      <c r="G115" s="140" t="s">
        <v>780</v>
      </c>
      <c r="H115" s="141" t="s">
        <v>713</v>
      </c>
      <c r="I115" s="140" t="s">
        <v>527</v>
      </c>
      <c r="J115" s="141"/>
      <c r="L115" s="122">
        <v>11001</v>
      </c>
      <c r="M115" s="122" t="str">
        <f t="shared" si="0"/>
        <v>%db11001.dbx136.0</v>
      </c>
    </row>
    <row r="116" spans="2:13" ht="16.5" customHeight="1" x14ac:dyDescent="0.25">
      <c r="B116" s="139">
        <v>107</v>
      </c>
      <c r="C116" s="139">
        <v>11001</v>
      </c>
      <c r="D116" s="143" t="s">
        <v>634</v>
      </c>
      <c r="E116" s="128" t="s">
        <v>465</v>
      </c>
      <c r="F116" s="139" t="s">
        <v>463</v>
      </c>
      <c r="G116" s="140" t="s">
        <v>781</v>
      </c>
      <c r="H116" s="141" t="s">
        <v>714</v>
      </c>
      <c r="I116" s="140" t="s">
        <v>528</v>
      </c>
      <c r="J116" s="141"/>
      <c r="L116" s="122">
        <v>11001</v>
      </c>
      <c r="M116" s="122" t="str">
        <f t="shared" si="0"/>
        <v>%db11001.dbx138.0</v>
      </c>
    </row>
    <row r="117" spans="2:13" ht="16.5" customHeight="1" x14ac:dyDescent="0.25">
      <c r="B117" s="139">
        <v>108</v>
      </c>
      <c r="C117" s="139">
        <v>11001</v>
      </c>
      <c r="D117" s="143" t="s">
        <v>634</v>
      </c>
      <c r="E117" s="128" t="s">
        <v>465</v>
      </c>
      <c r="F117" s="139" t="s">
        <v>463</v>
      </c>
      <c r="G117" s="140" t="s">
        <v>782</v>
      </c>
      <c r="H117" s="141" t="s">
        <v>715</v>
      </c>
      <c r="I117" s="140" t="s">
        <v>529</v>
      </c>
      <c r="J117" s="141"/>
      <c r="L117" s="122">
        <v>11001</v>
      </c>
      <c r="M117" s="122" t="str">
        <f t="shared" si="0"/>
        <v>%db11001.dbx140.0</v>
      </c>
    </row>
    <row r="118" spans="2:13" ht="16.5" customHeight="1" x14ac:dyDescent="0.25">
      <c r="B118" s="139">
        <v>109</v>
      </c>
      <c r="C118" s="139">
        <v>11001</v>
      </c>
      <c r="D118" s="143" t="s">
        <v>634</v>
      </c>
      <c r="E118" s="128" t="s">
        <v>465</v>
      </c>
      <c r="F118" s="139" t="s">
        <v>463</v>
      </c>
      <c r="G118" s="140" t="s">
        <v>783</v>
      </c>
      <c r="H118" s="141" t="s">
        <v>716</v>
      </c>
      <c r="I118" s="140" t="s">
        <v>530</v>
      </c>
      <c r="J118" s="141"/>
      <c r="L118" s="122">
        <v>11001</v>
      </c>
      <c r="M118" s="122" t="str">
        <f t="shared" si="0"/>
        <v>%db11001.dbx142.0</v>
      </c>
    </row>
    <row r="119" spans="2:13" ht="16.5" customHeight="1" x14ac:dyDescent="0.25">
      <c r="B119" s="139">
        <v>110</v>
      </c>
      <c r="C119" s="139">
        <v>11001</v>
      </c>
      <c r="D119" s="143" t="s">
        <v>634</v>
      </c>
      <c r="E119" s="128" t="s">
        <v>465</v>
      </c>
      <c r="F119" s="139" t="s">
        <v>463</v>
      </c>
      <c r="G119" s="140" t="s">
        <v>784</v>
      </c>
      <c r="H119" s="141" t="s">
        <v>717</v>
      </c>
      <c r="I119" s="140" t="s">
        <v>531</v>
      </c>
      <c r="J119" s="141"/>
      <c r="L119" s="122">
        <v>11001</v>
      </c>
      <c r="M119" s="122" t="str">
        <f t="shared" si="0"/>
        <v>%db11001.dbx144.0</v>
      </c>
    </row>
    <row r="120" spans="2:13" ht="16.5" customHeight="1" x14ac:dyDescent="0.25">
      <c r="B120" s="139">
        <v>111</v>
      </c>
      <c r="C120" s="139">
        <v>11001</v>
      </c>
      <c r="D120" s="143" t="s">
        <v>634</v>
      </c>
      <c r="E120" s="128" t="s">
        <v>465</v>
      </c>
      <c r="F120" s="139" t="s">
        <v>463</v>
      </c>
      <c r="G120" s="140" t="s">
        <v>785</v>
      </c>
      <c r="H120" s="141" t="s">
        <v>718</v>
      </c>
      <c r="I120" s="140" t="s">
        <v>532</v>
      </c>
      <c r="J120" s="141"/>
      <c r="L120" s="122">
        <v>11001</v>
      </c>
      <c r="M120" s="122" t="str">
        <f t="shared" si="0"/>
        <v>%db11001.dbx146.0</v>
      </c>
    </row>
    <row r="121" spans="2:13" ht="16.5" customHeight="1" x14ac:dyDescent="0.25">
      <c r="B121" s="139">
        <v>112</v>
      </c>
      <c r="C121" s="139">
        <v>11001</v>
      </c>
      <c r="D121" s="143" t="s">
        <v>634</v>
      </c>
      <c r="E121" s="128" t="s">
        <v>465</v>
      </c>
      <c r="F121" s="139" t="s">
        <v>463</v>
      </c>
      <c r="G121" s="140" t="s">
        <v>786</v>
      </c>
      <c r="H121" s="141" t="s">
        <v>719</v>
      </c>
      <c r="I121" s="140" t="s">
        <v>533</v>
      </c>
      <c r="J121" s="141"/>
      <c r="L121" s="122">
        <v>11001</v>
      </c>
      <c r="M121" s="122" t="str">
        <f t="shared" si="0"/>
        <v>%db11001.dbx148.0</v>
      </c>
    </row>
    <row r="122" spans="2:13" ht="16.5" customHeight="1" x14ac:dyDescent="0.25">
      <c r="B122" s="139">
        <v>113</v>
      </c>
      <c r="C122" s="139">
        <v>11001</v>
      </c>
      <c r="D122" s="143" t="s">
        <v>634</v>
      </c>
      <c r="E122" s="128" t="s">
        <v>465</v>
      </c>
      <c r="F122" s="139" t="s">
        <v>463</v>
      </c>
      <c r="G122" s="140" t="s">
        <v>250</v>
      </c>
      <c r="H122" s="141" t="s">
        <v>720</v>
      </c>
      <c r="I122" s="140" t="s">
        <v>534</v>
      </c>
      <c r="J122" s="141"/>
      <c r="L122" s="122">
        <v>11001</v>
      </c>
      <c r="M122" s="122" t="str">
        <f t="shared" si="0"/>
        <v>%db11001.dbx150.0</v>
      </c>
    </row>
    <row r="123" spans="2:13" ht="16.5" customHeight="1" x14ac:dyDescent="0.25">
      <c r="B123" s="139">
        <v>114</v>
      </c>
      <c r="C123" s="139">
        <v>11001</v>
      </c>
      <c r="D123" s="143" t="s">
        <v>634</v>
      </c>
      <c r="E123" s="128" t="s">
        <v>465</v>
      </c>
      <c r="F123" s="139" t="s">
        <v>463</v>
      </c>
      <c r="G123" s="140" t="s">
        <v>787</v>
      </c>
      <c r="H123" s="141" t="s">
        <v>721</v>
      </c>
      <c r="I123" s="140" t="s">
        <v>535</v>
      </c>
      <c r="J123" s="141"/>
      <c r="L123" s="122">
        <v>11001</v>
      </c>
      <c r="M123" s="122" t="str">
        <f t="shared" si="0"/>
        <v>%db11001.dbx152.0</v>
      </c>
    </row>
    <row r="124" spans="2:13" ht="16.5" customHeight="1" x14ac:dyDescent="0.25">
      <c r="B124" s="139">
        <v>115</v>
      </c>
      <c r="C124" s="139">
        <v>11001</v>
      </c>
      <c r="D124" s="143" t="s">
        <v>634</v>
      </c>
      <c r="E124" s="128" t="s">
        <v>465</v>
      </c>
      <c r="F124" s="139" t="s">
        <v>463</v>
      </c>
      <c r="G124" s="140" t="s">
        <v>788</v>
      </c>
      <c r="H124" s="141" t="s">
        <v>722</v>
      </c>
      <c r="I124" s="140" t="s">
        <v>536</v>
      </c>
      <c r="J124" s="141"/>
      <c r="L124" s="122">
        <v>11001</v>
      </c>
      <c r="M124" s="122" t="str">
        <f t="shared" si="0"/>
        <v>%db11001.dbx154.0</v>
      </c>
    </row>
    <row r="125" spans="2:13" ht="16.5" customHeight="1" x14ac:dyDescent="0.25">
      <c r="B125" s="139">
        <v>116</v>
      </c>
      <c r="C125" s="139">
        <v>11001</v>
      </c>
      <c r="D125" s="143" t="s">
        <v>634</v>
      </c>
      <c r="E125" s="128" t="s">
        <v>465</v>
      </c>
      <c r="F125" s="139" t="s">
        <v>463</v>
      </c>
      <c r="G125" s="140" t="s">
        <v>789</v>
      </c>
      <c r="H125" s="141" t="s">
        <v>723</v>
      </c>
      <c r="I125" s="140" t="s">
        <v>537</v>
      </c>
      <c r="J125" s="141"/>
      <c r="L125" s="122">
        <v>11001</v>
      </c>
      <c r="M125" s="122" t="str">
        <f t="shared" si="0"/>
        <v>%db11001.dbx156.0</v>
      </c>
    </row>
    <row r="126" spans="2:13" ht="16.5" customHeight="1" x14ac:dyDescent="0.25">
      <c r="B126" s="129">
        <v>117</v>
      </c>
      <c r="C126" s="129">
        <v>11001</v>
      </c>
      <c r="D126" s="143" t="s">
        <v>634</v>
      </c>
      <c r="E126" s="128" t="s">
        <v>465</v>
      </c>
      <c r="F126" s="129" t="s">
        <v>504</v>
      </c>
      <c r="G126" s="130" t="s">
        <v>495</v>
      </c>
      <c r="H126" s="137" t="s">
        <v>682</v>
      </c>
      <c r="I126" s="130" t="s">
        <v>538</v>
      </c>
      <c r="J126" s="137" t="s">
        <v>640</v>
      </c>
      <c r="L126" s="122">
        <v>11001</v>
      </c>
      <c r="M126" s="122" t="str">
        <f t="shared" si="0"/>
        <v>%db11001.dbx4.0</v>
      </c>
    </row>
    <row r="127" spans="2:13" ht="16.5" customHeight="1" x14ac:dyDescent="0.25">
      <c r="B127" s="129">
        <v>118</v>
      </c>
      <c r="C127" s="129">
        <v>11001</v>
      </c>
      <c r="D127" s="143" t="s">
        <v>634</v>
      </c>
      <c r="E127" s="128" t="s">
        <v>465</v>
      </c>
      <c r="F127" s="129" t="s">
        <v>504</v>
      </c>
      <c r="G127" s="130" t="s">
        <v>496</v>
      </c>
      <c r="H127" s="137" t="s">
        <v>638</v>
      </c>
      <c r="I127" s="130" t="s">
        <v>539</v>
      </c>
      <c r="J127" s="137" t="s">
        <v>641</v>
      </c>
      <c r="L127" s="122">
        <v>11001</v>
      </c>
      <c r="M127" s="122" t="str">
        <f t="shared" si="0"/>
        <v>%db11001.dbx6.0</v>
      </c>
    </row>
    <row r="128" spans="2:13" ht="16.5" customHeight="1" x14ac:dyDescent="0.25">
      <c r="B128" s="129">
        <v>119</v>
      </c>
      <c r="C128" s="129">
        <v>11001</v>
      </c>
      <c r="D128" s="143" t="s">
        <v>634</v>
      </c>
      <c r="E128" s="128" t="s">
        <v>465</v>
      </c>
      <c r="F128" s="129" t="s">
        <v>504</v>
      </c>
      <c r="G128" s="130" t="s">
        <v>497</v>
      </c>
      <c r="H128" s="137" t="s">
        <v>639</v>
      </c>
      <c r="I128" s="130" t="s">
        <v>540</v>
      </c>
      <c r="J128" s="137" t="s">
        <v>642</v>
      </c>
      <c r="L128" s="122">
        <v>11001</v>
      </c>
      <c r="M128" s="122" t="str">
        <f t="shared" si="0"/>
        <v>%db11001.dbx8.0</v>
      </c>
    </row>
    <row r="129" spans="2:13" ht="16.5" customHeight="1" x14ac:dyDescent="0.25">
      <c r="B129" s="129">
        <v>120</v>
      </c>
      <c r="C129" s="129">
        <v>11001</v>
      </c>
      <c r="D129" s="143" t="s">
        <v>634</v>
      </c>
      <c r="E129" s="128" t="s">
        <v>465</v>
      </c>
      <c r="F129" s="129" t="s">
        <v>504</v>
      </c>
      <c r="G129" s="130" t="s">
        <v>251</v>
      </c>
      <c r="H129" s="137" t="s">
        <v>683</v>
      </c>
      <c r="I129" s="130" t="s">
        <v>541</v>
      </c>
      <c r="J129" s="137" t="s">
        <v>851</v>
      </c>
      <c r="L129" s="122">
        <v>11001</v>
      </c>
      <c r="M129" s="122" t="str">
        <f t="shared" si="0"/>
        <v>%db11001.dbx10.0</v>
      </c>
    </row>
    <row r="130" spans="2:13" ht="16.5" customHeight="1" x14ac:dyDescent="0.25">
      <c r="B130" s="129">
        <v>121</v>
      </c>
      <c r="C130" s="129">
        <v>11001</v>
      </c>
      <c r="D130" s="143" t="s">
        <v>634</v>
      </c>
      <c r="E130" s="128" t="s">
        <v>465</v>
      </c>
      <c r="F130" s="129" t="s">
        <v>504</v>
      </c>
      <c r="G130" s="130" t="s">
        <v>498</v>
      </c>
      <c r="H130" s="137" t="s">
        <v>684</v>
      </c>
      <c r="I130" s="130" t="s">
        <v>542</v>
      </c>
      <c r="J130" s="137" t="s">
        <v>852</v>
      </c>
      <c r="L130" s="122">
        <v>11001</v>
      </c>
      <c r="M130" s="122" t="str">
        <f t="shared" si="0"/>
        <v>%db11001.dbx12.0</v>
      </c>
    </row>
    <row r="131" spans="2:13" ht="16.5" customHeight="1" x14ac:dyDescent="0.25">
      <c r="B131" s="139">
        <v>122</v>
      </c>
      <c r="C131" s="139">
        <v>11001</v>
      </c>
      <c r="D131" s="143" t="s">
        <v>634</v>
      </c>
      <c r="E131" s="128" t="s">
        <v>465</v>
      </c>
      <c r="F131" s="139" t="s">
        <v>504</v>
      </c>
      <c r="G131" s="140" t="s">
        <v>499</v>
      </c>
      <c r="H131" s="141" t="s">
        <v>727</v>
      </c>
      <c r="I131" s="140" t="s">
        <v>679</v>
      </c>
      <c r="J131" s="141"/>
      <c r="L131" s="122">
        <v>11001</v>
      </c>
      <c r="M131" s="122" t="str">
        <f t="shared" si="0"/>
        <v>%db11001.dbx14.0</v>
      </c>
    </row>
    <row r="132" spans="2:13" ht="16.5" customHeight="1" x14ac:dyDescent="0.25">
      <c r="B132" s="139">
        <v>123</v>
      </c>
      <c r="C132" s="139">
        <v>11001</v>
      </c>
      <c r="D132" s="143" t="s">
        <v>634</v>
      </c>
      <c r="E132" s="128" t="s">
        <v>465</v>
      </c>
      <c r="F132" s="139" t="s">
        <v>504</v>
      </c>
      <c r="G132" s="140" t="s">
        <v>678</v>
      </c>
      <c r="H132" s="141" t="s">
        <v>728</v>
      </c>
      <c r="I132" s="140" t="s">
        <v>680</v>
      </c>
      <c r="J132" s="141"/>
      <c r="L132" s="122">
        <v>11001</v>
      </c>
      <c r="M132" s="122" t="str">
        <f t="shared" si="0"/>
        <v>%db11001.dbx16.0</v>
      </c>
    </row>
    <row r="133" spans="2:13" x14ac:dyDescent="0.25">
      <c r="B133" s="139">
        <v>124</v>
      </c>
      <c r="C133" s="139">
        <v>11001</v>
      </c>
      <c r="D133" s="143" t="s">
        <v>634</v>
      </c>
      <c r="E133" s="128" t="s">
        <v>465</v>
      </c>
      <c r="F133" s="139" t="s">
        <v>504</v>
      </c>
      <c r="G133" s="140" t="s">
        <v>500</v>
      </c>
      <c r="H133" s="141" t="s">
        <v>729</v>
      </c>
      <c r="I133" s="140" t="s">
        <v>681</v>
      </c>
      <c r="J133" s="141"/>
      <c r="L133" s="122">
        <v>11001</v>
      </c>
      <c r="M133" s="122" t="str">
        <f t="shared" si="0"/>
        <v>%db11001.dbx18.0</v>
      </c>
    </row>
    <row r="134" spans="2:13" x14ac:dyDescent="0.25">
      <c r="B134" s="139">
        <v>125</v>
      </c>
      <c r="C134" s="139">
        <v>11001</v>
      </c>
      <c r="D134" s="143" t="s">
        <v>634</v>
      </c>
      <c r="E134" s="128" t="s">
        <v>465</v>
      </c>
      <c r="F134" s="139" t="s">
        <v>504</v>
      </c>
      <c r="G134" s="140" t="s">
        <v>701</v>
      </c>
      <c r="H134" s="141" t="s">
        <v>730</v>
      </c>
      <c r="I134" s="140" t="s">
        <v>699</v>
      </c>
      <c r="J134" s="141"/>
      <c r="L134" s="122">
        <v>11001</v>
      </c>
      <c r="M134" s="122" t="str">
        <f t="shared" si="0"/>
        <v>%db11001.dbx20.0</v>
      </c>
    </row>
    <row r="135" spans="2:13" x14ac:dyDescent="0.25">
      <c r="B135" s="139">
        <v>126</v>
      </c>
      <c r="C135" s="139">
        <v>11001</v>
      </c>
      <c r="D135" s="143" t="s">
        <v>634</v>
      </c>
      <c r="E135" s="128" t="s">
        <v>465</v>
      </c>
      <c r="F135" s="139" t="s">
        <v>504</v>
      </c>
      <c r="G135" s="140" t="s">
        <v>501</v>
      </c>
      <c r="H135" s="141" t="s">
        <v>731</v>
      </c>
      <c r="I135" s="140" t="s">
        <v>700</v>
      </c>
      <c r="J135" s="141"/>
      <c r="L135" s="122">
        <v>11001</v>
      </c>
      <c r="M135" s="122" t="str">
        <f t="shared" si="0"/>
        <v>%db11001.dbx22.0</v>
      </c>
    </row>
    <row r="136" spans="2:13" x14ac:dyDescent="0.25">
      <c r="B136" s="129">
        <v>127</v>
      </c>
      <c r="C136" s="129">
        <v>11001</v>
      </c>
      <c r="D136" s="143" t="s">
        <v>634</v>
      </c>
      <c r="E136" s="128" t="s">
        <v>465</v>
      </c>
      <c r="F136" s="129" t="s">
        <v>505</v>
      </c>
      <c r="G136" s="130" t="s">
        <v>702</v>
      </c>
      <c r="H136" s="137" t="s">
        <v>644</v>
      </c>
      <c r="I136" s="130" t="s">
        <v>543</v>
      </c>
      <c r="J136" s="137" t="s">
        <v>643</v>
      </c>
      <c r="L136" s="122">
        <v>11001</v>
      </c>
      <c r="M136" s="122" t="str">
        <f t="shared" si="0"/>
        <v>%db11001.dbx24.0</v>
      </c>
    </row>
    <row r="137" spans="2:13" x14ac:dyDescent="0.25">
      <c r="B137" s="129">
        <v>128</v>
      </c>
      <c r="C137" s="129">
        <v>11001</v>
      </c>
      <c r="D137" s="143" t="s">
        <v>634</v>
      </c>
      <c r="E137" s="128" t="s">
        <v>465</v>
      </c>
      <c r="F137" s="129" t="s">
        <v>505</v>
      </c>
      <c r="G137" s="130" t="s">
        <v>749</v>
      </c>
      <c r="H137" s="137" t="s">
        <v>689</v>
      </c>
      <c r="I137" s="130" t="s">
        <v>544</v>
      </c>
      <c r="J137" s="137" t="s">
        <v>690</v>
      </c>
      <c r="L137" s="122">
        <v>11001</v>
      </c>
      <c r="M137" s="122" t="str">
        <f t="shared" si="0"/>
        <v>%db11001.dbx28.0</v>
      </c>
    </row>
    <row r="138" spans="2:13" x14ac:dyDescent="0.25">
      <c r="B138" s="129">
        <v>129</v>
      </c>
      <c r="C138" s="129">
        <v>11001</v>
      </c>
      <c r="D138" s="143" t="s">
        <v>634</v>
      </c>
      <c r="E138" s="128" t="s">
        <v>465</v>
      </c>
      <c r="F138" s="129" t="s">
        <v>505</v>
      </c>
      <c r="G138" s="130" t="s">
        <v>750</v>
      </c>
      <c r="H138" s="137" t="s">
        <v>745</v>
      </c>
      <c r="I138" s="130" t="s">
        <v>545</v>
      </c>
      <c r="J138" s="137" t="s">
        <v>748</v>
      </c>
      <c r="L138" s="122">
        <v>11001</v>
      </c>
      <c r="M138" s="122" t="str">
        <f t="shared" si="0"/>
        <v>%db11001.dbx32.0</v>
      </c>
    </row>
    <row r="139" spans="2:13" x14ac:dyDescent="0.25">
      <c r="B139" s="139">
        <v>130</v>
      </c>
      <c r="C139" s="139">
        <v>11001</v>
      </c>
      <c r="D139" s="143" t="s">
        <v>634</v>
      </c>
      <c r="E139" s="128" t="s">
        <v>465</v>
      </c>
      <c r="F139" s="139" t="s">
        <v>505</v>
      </c>
      <c r="G139" s="140" t="s">
        <v>565</v>
      </c>
      <c r="H139" s="141" t="s">
        <v>732</v>
      </c>
      <c r="I139" s="140" t="s">
        <v>546</v>
      </c>
      <c r="J139" s="141"/>
      <c r="L139" s="122">
        <v>11001</v>
      </c>
      <c r="M139" s="122" t="str">
        <f t="shared" si="0"/>
        <v>%db11001.dbx36.0</v>
      </c>
    </row>
    <row r="140" spans="2:13" x14ac:dyDescent="0.25">
      <c r="B140" s="139">
        <v>131</v>
      </c>
      <c r="C140" s="139">
        <v>11001</v>
      </c>
      <c r="D140" s="143" t="s">
        <v>634</v>
      </c>
      <c r="E140" s="128" t="s">
        <v>465</v>
      </c>
      <c r="F140" s="139" t="s">
        <v>505</v>
      </c>
      <c r="G140" s="140" t="s">
        <v>582</v>
      </c>
      <c r="H140" s="141" t="s">
        <v>733</v>
      </c>
      <c r="I140" s="140" t="s">
        <v>547</v>
      </c>
      <c r="J140" s="141"/>
      <c r="L140" s="122">
        <v>11001</v>
      </c>
      <c r="M140" s="122" t="str">
        <f t="shared" si="0"/>
        <v>%db11001.dbx40.0</v>
      </c>
    </row>
    <row r="141" spans="2:13" x14ac:dyDescent="0.25">
      <c r="B141" s="129">
        <v>132</v>
      </c>
      <c r="C141" s="129">
        <v>11001</v>
      </c>
      <c r="D141" s="143" t="s">
        <v>634</v>
      </c>
      <c r="E141" s="132" t="s">
        <v>548</v>
      </c>
      <c r="F141" s="129" t="s">
        <v>463</v>
      </c>
      <c r="G141" s="130" t="s">
        <v>790</v>
      </c>
      <c r="H141" s="137" t="s">
        <v>636</v>
      </c>
      <c r="I141" s="130" t="s">
        <v>506</v>
      </c>
      <c r="J141" s="137" t="s">
        <v>464</v>
      </c>
      <c r="L141" s="122">
        <v>11001</v>
      </c>
      <c r="M141" s="122" t="str">
        <f t="shared" si="0"/>
        <v>%db11001.dbx314.0</v>
      </c>
    </row>
    <row r="142" spans="2:13" x14ac:dyDescent="0.25">
      <c r="B142" s="129">
        <v>133</v>
      </c>
      <c r="C142" s="129">
        <v>11001</v>
      </c>
      <c r="D142" s="143" t="s">
        <v>634</v>
      </c>
      <c r="E142" s="132" t="s">
        <v>548</v>
      </c>
      <c r="F142" s="129" t="s">
        <v>463</v>
      </c>
      <c r="G142" s="130" t="s">
        <v>791</v>
      </c>
      <c r="H142" s="137" t="s">
        <v>739</v>
      </c>
      <c r="I142" s="130" t="s">
        <v>507</v>
      </c>
      <c r="J142" s="137" t="s">
        <v>741</v>
      </c>
      <c r="L142" s="122">
        <v>11001</v>
      </c>
      <c r="M142" s="122" t="str">
        <f t="shared" si="0"/>
        <v>%db11001.dbx316.0</v>
      </c>
    </row>
    <row r="143" spans="2:13" x14ac:dyDescent="0.25">
      <c r="B143" s="129">
        <v>134</v>
      </c>
      <c r="C143" s="129">
        <v>11001</v>
      </c>
      <c r="D143" s="143" t="s">
        <v>634</v>
      </c>
      <c r="E143" s="132" t="s">
        <v>548</v>
      </c>
      <c r="F143" s="129" t="s">
        <v>463</v>
      </c>
      <c r="G143" s="130" t="s">
        <v>792</v>
      </c>
      <c r="H143" s="137" t="s">
        <v>672</v>
      </c>
      <c r="I143" s="130" t="s">
        <v>508</v>
      </c>
      <c r="J143" s="137" t="s">
        <v>675</v>
      </c>
      <c r="L143" s="122">
        <v>11001</v>
      </c>
      <c r="M143" s="122" t="str">
        <f t="shared" si="0"/>
        <v>%db11001.dbx318.0</v>
      </c>
    </row>
    <row r="144" spans="2:13" x14ac:dyDescent="0.25">
      <c r="B144" s="129">
        <v>135</v>
      </c>
      <c r="C144" s="129">
        <v>11001</v>
      </c>
      <c r="D144" s="143" t="s">
        <v>634</v>
      </c>
      <c r="E144" s="132" t="s">
        <v>548</v>
      </c>
      <c r="F144" s="129" t="s">
        <v>463</v>
      </c>
      <c r="G144" s="130" t="s">
        <v>793</v>
      </c>
      <c r="H144" s="137" t="s">
        <v>673</v>
      </c>
      <c r="I144" s="130" t="s">
        <v>509</v>
      </c>
      <c r="J144" s="137" t="s">
        <v>676</v>
      </c>
      <c r="L144" s="122">
        <v>11001</v>
      </c>
      <c r="M144" s="122" t="str">
        <f t="shared" si="0"/>
        <v>%db11001.dbx320.0</v>
      </c>
    </row>
    <row r="145" spans="2:13" x14ac:dyDescent="0.25">
      <c r="B145" s="129">
        <v>136</v>
      </c>
      <c r="C145" s="129">
        <v>11001</v>
      </c>
      <c r="D145" s="143" t="s">
        <v>634</v>
      </c>
      <c r="E145" s="132" t="s">
        <v>548</v>
      </c>
      <c r="F145" s="129" t="s">
        <v>463</v>
      </c>
      <c r="G145" s="130" t="s">
        <v>794</v>
      </c>
      <c r="H145" s="137" t="s">
        <v>823</v>
      </c>
      <c r="I145" s="130" t="s">
        <v>510</v>
      </c>
      <c r="J145" s="137" t="s">
        <v>824</v>
      </c>
      <c r="L145" s="122">
        <v>11001</v>
      </c>
      <c r="M145" s="122" t="str">
        <f t="shared" si="0"/>
        <v>%db11001.dbx322.0</v>
      </c>
    </row>
    <row r="146" spans="2:13" x14ac:dyDescent="0.25">
      <c r="B146" s="129">
        <v>137</v>
      </c>
      <c r="C146" s="129">
        <v>11001</v>
      </c>
      <c r="D146" s="143" t="s">
        <v>634</v>
      </c>
      <c r="E146" s="132" t="s">
        <v>548</v>
      </c>
      <c r="F146" s="129" t="s">
        <v>463</v>
      </c>
      <c r="G146" s="130" t="s">
        <v>795</v>
      </c>
      <c r="H146" s="137" t="s">
        <v>740</v>
      </c>
      <c r="I146" s="130" t="s">
        <v>511</v>
      </c>
      <c r="J146" s="137" t="s">
        <v>742</v>
      </c>
      <c r="L146" s="122">
        <v>11001</v>
      </c>
      <c r="M146" s="122" t="str">
        <f t="shared" si="0"/>
        <v>%db11001.dbx324.0</v>
      </c>
    </row>
    <row r="147" spans="2:13" x14ac:dyDescent="0.25">
      <c r="B147" s="139">
        <v>138</v>
      </c>
      <c r="C147" s="139">
        <v>11001</v>
      </c>
      <c r="D147" s="143" t="s">
        <v>634</v>
      </c>
      <c r="E147" s="132" t="s">
        <v>548</v>
      </c>
      <c r="F147" s="139" t="s">
        <v>463</v>
      </c>
      <c r="G147" s="140" t="s">
        <v>796</v>
      </c>
      <c r="H147" s="141" t="s">
        <v>825</v>
      </c>
      <c r="I147" s="140" t="s">
        <v>512</v>
      </c>
      <c r="J147" s="141"/>
      <c r="L147" s="122">
        <v>11001</v>
      </c>
      <c r="M147" s="122" t="str">
        <f t="shared" si="0"/>
        <v>%db11001.dbx326.0</v>
      </c>
    </row>
    <row r="148" spans="2:13" x14ac:dyDescent="0.25">
      <c r="B148" s="129">
        <v>139</v>
      </c>
      <c r="C148" s="129">
        <v>11001</v>
      </c>
      <c r="D148" s="143" t="s">
        <v>634</v>
      </c>
      <c r="E148" s="132" t="s">
        <v>548</v>
      </c>
      <c r="F148" s="129" t="s">
        <v>463</v>
      </c>
      <c r="G148" s="130" t="s">
        <v>797</v>
      </c>
      <c r="H148" s="137" t="s">
        <v>674</v>
      </c>
      <c r="I148" s="130" t="s">
        <v>513</v>
      </c>
      <c r="J148" s="137" t="s">
        <v>677</v>
      </c>
      <c r="L148" s="122">
        <v>11001</v>
      </c>
      <c r="M148" s="122" t="str">
        <f t="shared" si="0"/>
        <v>%db11001.dbx328.0</v>
      </c>
    </row>
    <row r="149" spans="2:13" x14ac:dyDescent="0.25">
      <c r="B149" s="129">
        <v>140</v>
      </c>
      <c r="C149" s="129">
        <v>11001</v>
      </c>
      <c r="D149" s="143" t="s">
        <v>634</v>
      </c>
      <c r="E149" s="132" t="s">
        <v>548</v>
      </c>
      <c r="F149" s="129" t="s">
        <v>463</v>
      </c>
      <c r="G149" s="130" t="s">
        <v>798</v>
      </c>
      <c r="H149" s="137" t="s">
        <v>857</v>
      </c>
      <c r="I149" s="130" t="s">
        <v>514</v>
      </c>
      <c r="J149" s="137" t="s">
        <v>858</v>
      </c>
      <c r="L149" s="122">
        <v>11001</v>
      </c>
      <c r="M149" s="122" t="str">
        <f t="shared" si="0"/>
        <v>%db11001.dbx330.0</v>
      </c>
    </row>
    <row r="150" spans="2:13" x14ac:dyDescent="0.25">
      <c r="B150" s="129">
        <v>141</v>
      </c>
      <c r="C150" s="129">
        <v>11001</v>
      </c>
      <c r="D150" s="143" t="s">
        <v>634</v>
      </c>
      <c r="E150" s="132" t="s">
        <v>548</v>
      </c>
      <c r="F150" s="129" t="s">
        <v>463</v>
      </c>
      <c r="G150" s="130" t="s">
        <v>799</v>
      </c>
      <c r="H150" s="137" t="s">
        <v>859</v>
      </c>
      <c r="I150" s="130" t="s">
        <v>515</v>
      </c>
      <c r="J150" s="137" t="s">
        <v>860</v>
      </c>
      <c r="L150" s="122">
        <v>11001</v>
      </c>
      <c r="M150" s="122" t="str">
        <f t="shared" si="0"/>
        <v>%db11001.dbx332.0</v>
      </c>
    </row>
    <row r="151" spans="2:13" x14ac:dyDescent="0.25">
      <c r="B151" s="139">
        <v>142</v>
      </c>
      <c r="C151" s="139">
        <v>11001</v>
      </c>
      <c r="D151" s="143" t="s">
        <v>634</v>
      </c>
      <c r="E151" s="132" t="s">
        <v>548</v>
      </c>
      <c r="F151" s="139" t="s">
        <v>463</v>
      </c>
      <c r="G151" s="140" t="s">
        <v>800</v>
      </c>
      <c r="H151" s="141" t="s">
        <v>826</v>
      </c>
      <c r="I151" s="140" t="s">
        <v>516</v>
      </c>
      <c r="J151" s="141"/>
      <c r="L151" s="122">
        <v>11001</v>
      </c>
      <c r="M151" s="122" t="str">
        <f t="shared" si="0"/>
        <v>%db11001.dbx334.0</v>
      </c>
    </row>
    <row r="152" spans="2:13" x14ac:dyDescent="0.25">
      <c r="B152" s="129">
        <v>143</v>
      </c>
      <c r="C152" s="129">
        <v>11001</v>
      </c>
      <c r="D152" s="143" t="s">
        <v>634</v>
      </c>
      <c r="E152" s="132" t="s">
        <v>548</v>
      </c>
      <c r="F152" s="129" t="s">
        <v>463</v>
      </c>
      <c r="G152" s="130" t="s">
        <v>801</v>
      </c>
      <c r="H152" s="137" t="s">
        <v>743</v>
      </c>
      <c r="I152" s="130" t="s">
        <v>517</v>
      </c>
      <c r="J152" s="137" t="s">
        <v>744</v>
      </c>
      <c r="L152" s="122">
        <v>11001</v>
      </c>
      <c r="M152" s="122" t="str">
        <f t="shared" si="0"/>
        <v>%db11001.dbx336.0</v>
      </c>
    </row>
    <row r="153" spans="2:13" x14ac:dyDescent="0.25">
      <c r="B153" s="139">
        <v>144</v>
      </c>
      <c r="C153" s="139">
        <v>11001</v>
      </c>
      <c r="D153" s="143" t="s">
        <v>634</v>
      </c>
      <c r="E153" s="132" t="s">
        <v>548</v>
      </c>
      <c r="F153" s="139" t="s">
        <v>463</v>
      </c>
      <c r="G153" s="140" t="s">
        <v>802</v>
      </c>
      <c r="H153" s="141" t="s">
        <v>861</v>
      </c>
      <c r="I153" s="140" t="s">
        <v>518</v>
      </c>
      <c r="J153" s="141"/>
      <c r="L153" s="122">
        <v>11001</v>
      </c>
      <c r="M153" s="122" t="str">
        <f>"%db"&amp;L153&amp;".dbx"&amp;G153</f>
        <v>%db11001.dbx338.0</v>
      </c>
    </row>
    <row r="154" spans="2:13" x14ac:dyDescent="0.25">
      <c r="B154" s="139">
        <v>145</v>
      </c>
      <c r="C154" s="139">
        <v>11001</v>
      </c>
      <c r="D154" s="143" t="s">
        <v>634</v>
      </c>
      <c r="E154" s="132" t="s">
        <v>548</v>
      </c>
      <c r="F154" s="139" t="s">
        <v>463</v>
      </c>
      <c r="G154" s="140" t="s">
        <v>803</v>
      </c>
      <c r="H154" s="141" t="s">
        <v>850</v>
      </c>
      <c r="I154" s="140" t="s">
        <v>519</v>
      </c>
      <c r="J154" s="141"/>
      <c r="L154" s="122">
        <v>11001</v>
      </c>
      <c r="M154" s="122" t="str">
        <f t="shared" ref="M154:M187" si="1">"%db"&amp;L154&amp;".dbx"&amp;G154</f>
        <v>%db11001.dbx340.0</v>
      </c>
    </row>
    <row r="155" spans="2:13" x14ac:dyDescent="0.25">
      <c r="B155" s="139">
        <v>146</v>
      </c>
      <c r="C155" s="139">
        <v>11001</v>
      </c>
      <c r="D155" s="143" t="s">
        <v>634</v>
      </c>
      <c r="E155" s="132" t="s">
        <v>548</v>
      </c>
      <c r="F155" s="139" t="s">
        <v>463</v>
      </c>
      <c r="G155" s="140" t="s">
        <v>804</v>
      </c>
      <c r="H155" s="141" t="s">
        <v>707</v>
      </c>
      <c r="I155" s="140" t="s">
        <v>520</v>
      </c>
      <c r="J155" s="141"/>
      <c r="L155" s="122">
        <v>11001</v>
      </c>
      <c r="M155" s="122" t="str">
        <f t="shared" si="1"/>
        <v>%db11001.dbx342.0</v>
      </c>
    </row>
    <row r="156" spans="2:13" x14ac:dyDescent="0.25">
      <c r="B156" s="139">
        <v>147</v>
      </c>
      <c r="C156" s="139">
        <v>11001</v>
      </c>
      <c r="D156" s="143" t="s">
        <v>634</v>
      </c>
      <c r="E156" s="132" t="s">
        <v>548</v>
      </c>
      <c r="F156" s="139" t="s">
        <v>463</v>
      </c>
      <c r="G156" s="140" t="s">
        <v>805</v>
      </c>
      <c r="H156" s="141" t="s">
        <v>708</v>
      </c>
      <c r="I156" s="140" t="s">
        <v>521</v>
      </c>
      <c r="J156" s="141"/>
      <c r="L156" s="122">
        <v>11001</v>
      </c>
      <c r="M156" s="122" t="str">
        <f t="shared" si="1"/>
        <v>%db11001.dbx344.0</v>
      </c>
    </row>
    <row r="157" spans="2:13" x14ac:dyDescent="0.25">
      <c r="B157" s="139">
        <v>148</v>
      </c>
      <c r="C157" s="139">
        <v>11001</v>
      </c>
      <c r="D157" s="143" t="s">
        <v>634</v>
      </c>
      <c r="E157" s="132" t="s">
        <v>548</v>
      </c>
      <c r="F157" s="139" t="s">
        <v>463</v>
      </c>
      <c r="G157" s="140" t="s">
        <v>806</v>
      </c>
      <c r="H157" s="141" t="s">
        <v>709</v>
      </c>
      <c r="I157" s="140" t="s">
        <v>522</v>
      </c>
      <c r="J157" s="141"/>
      <c r="L157" s="122">
        <v>11001</v>
      </c>
      <c r="M157" s="122" t="str">
        <f t="shared" si="1"/>
        <v>%db11001.dbx346.0</v>
      </c>
    </row>
    <row r="158" spans="2:13" x14ac:dyDescent="0.25">
      <c r="B158" s="139">
        <v>149</v>
      </c>
      <c r="C158" s="139">
        <v>11001</v>
      </c>
      <c r="D158" s="143" t="s">
        <v>634</v>
      </c>
      <c r="E158" s="132" t="s">
        <v>548</v>
      </c>
      <c r="F158" s="139" t="s">
        <v>463</v>
      </c>
      <c r="G158" s="140" t="s">
        <v>807</v>
      </c>
      <c r="H158" s="141" t="s">
        <v>710</v>
      </c>
      <c r="I158" s="140" t="s">
        <v>523</v>
      </c>
      <c r="J158" s="141"/>
      <c r="L158" s="122">
        <v>11001</v>
      </c>
      <c r="M158" s="122" t="str">
        <f t="shared" si="1"/>
        <v>%db11001.dbx348.0</v>
      </c>
    </row>
    <row r="159" spans="2:13" x14ac:dyDescent="0.25">
      <c r="B159" s="139">
        <v>150</v>
      </c>
      <c r="C159" s="139">
        <v>11001</v>
      </c>
      <c r="D159" s="143" t="s">
        <v>634</v>
      </c>
      <c r="E159" s="132" t="s">
        <v>548</v>
      </c>
      <c r="F159" s="139" t="s">
        <v>463</v>
      </c>
      <c r="G159" s="140" t="s">
        <v>808</v>
      </c>
      <c r="H159" s="141" t="s">
        <v>711</v>
      </c>
      <c r="I159" s="140" t="s">
        <v>524</v>
      </c>
      <c r="J159" s="141"/>
      <c r="L159" s="122">
        <v>11001</v>
      </c>
      <c r="M159" s="122" t="str">
        <f t="shared" si="1"/>
        <v>%db11001.dbx350.0</v>
      </c>
    </row>
    <row r="160" spans="2:13" x14ac:dyDescent="0.25">
      <c r="B160" s="129">
        <v>151</v>
      </c>
      <c r="C160" s="129">
        <v>11001</v>
      </c>
      <c r="D160" s="143" t="s">
        <v>634</v>
      </c>
      <c r="E160" s="132" t="s">
        <v>548</v>
      </c>
      <c r="F160" s="129" t="s">
        <v>463</v>
      </c>
      <c r="G160" s="130" t="s">
        <v>809</v>
      </c>
      <c r="H160" s="137" t="s">
        <v>704</v>
      </c>
      <c r="I160" s="130" t="s">
        <v>525</v>
      </c>
      <c r="J160" s="137" t="s">
        <v>705</v>
      </c>
      <c r="L160" s="122">
        <v>11001</v>
      </c>
      <c r="M160" s="122" t="str">
        <f t="shared" si="1"/>
        <v>%db11001.dbx352.0</v>
      </c>
    </row>
    <row r="161" spans="2:13" x14ac:dyDescent="0.25">
      <c r="B161" s="139">
        <v>152</v>
      </c>
      <c r="C161" s="139">
        <v>11001</v>
      </c>
      <c r="D161" s="143" t="s">
        <v>634</v>
      </c>
      <c r="E161" s="132" t="s">
        <v>548</v>
      </c>
      <c r="F161" s="139" t="s">
        <v>463</v>
      </c>
      <c r="G161" s="140" t="s">
        <v>810</v>
      </c>
      <c r="H161" s="141" t="s">
        <v>712</v>
      </c>
      <c r="I161" s="140" t="s">
        <v>526</v>
      </c>
      <c r="J161" s="141"/>
      <c r="L161" s="122">
        <v>11001</v>
      </c>
      <c r="M161" s="122" t="str">
        <f t="shared" si="1"/>
        <v>%db11001.dbx354.0</v>
      </c>
    </row>
    <row r="162" spans="2:13" x14ac:dyDescent="0.25">
      <c r="B162" s="139">
        <v>153</v>
      </c>
      <c r="C162" s="139">
        <v>11001</v>
      </c>
      <c r="D162" s="143" t="s">
        <v>634</v>
      </c>
      <c r="E162" s="132" t="s">
        <v>548</v>
      </c>
      <c r="F162" s="139" t="s">
        <v>463</v>
      </c>
      <c r="G162" s="140" t="s">
        <v>811</v>
      </c>
      <c r="H162" s="141" t="s">
        <v>713</v>
      </c>
      <c r="I162" s="140" t="s">
        <v>527</v>
      </c>
      <c r="J162" s="141"/>
      <c r="L162" s="122">
        <v>11001</v>
      </c>
      <c r="M162" s="122" t="str">
        <f t="shared" si="1"/>
        <v>%db11001.dbx356.0</v>
      </c>
    </row>
    <row r="163" spans="2:13" x14ac:dyDescent="0.25">
      <c r="B163" s="139">
        <v>154</v>
      </c>
      <c r="C163" s="139">
        <v>11001</v>
      </c>
      <c r="D163" s="143" t="s">
        <v>634</v>
      </c>
      <c r="E163" s="132" t="s">
        <v>548</v>
      </c>
      <c r="F163" s="139" t="s">
        <v>463</v>
      </c>
      <c r="G163" s="140" t="s">
        <v>812</v>
      </c>
      <c r="H163" s="141" t="s">
        <v>714</v>
      </c>
      <c r="I163" s="140" t="s">
        <v>528</v>
      </c>
      <c r="J163" s="141"/>
      <c r="L163" s="122">
        <v>11001</v>
      </c>
      <c r="M163" s="122" t="str">
        <f t="shared" si="1"/>
        <v>%db11001.dbx358.0</v>
      </c>
    </row>
    <row r="164" spans="2:13" x14ac:dyDescent="0.25">
      <c r="B164" s="139">
        <v>155</v>
      </c>
      <c r="C164" s="139">
        <v>11001</v>
      </c>
      <c r="D164" s="143" t="s">
        <v>634</v>
      </c>
      <c r="E164" s="132" t="s">
        <v>548</v>
      </c>
      <c r="F164" s="139" t="s">
        <v>463</v>
      </c>
      <c r="G164" s="140" t="s">
        <v>813</v>
      </c>
      <c r="H164" s="141" t="s">
        <v>715</v>
      </c>
      <c r="I164" s="140" t="s">
        <v>529</v>
      </c>
      <c r="J164" s="141"/>
      <c r="L164" s="122">
        <v>11001</v>
      </c>
      <c r="M164" s="122" t="str">
        <f t="shared" si="1"/>
        <v>%db11001.dbx360.0</v>
      </c>
    </row>
    <row r="165" spans="2:13" x14ac:dyDescent="0.25">
      <c r="B165" s="139">
        <v>156</v>
      </c>
      <c r="C165" s="139">
        <v>11001</v>
      </c>
      <c r="D165" s="143" t="s">
        <v>634</v>
      </c>
      <c r="E165" s="132" t="s">
        <v>548</v>
      </c>
      <c r="F165" s="139" t="s">
        <v>463</v>
      </c>
      <c r="G165" s="140" t="s">
        <v>814</v>
      </c>
      <c r="H165" s="141" t="s">
        <v>716</v>
      </c>
      <c r="I165" s="140" t="s">
        <v>530</v>
      </c>
      <c r="J165" s="141"/>
      <c r="L165" s="122">
        <v>11001</v>
      </c>
      <c r="M165" s="122" t="str">
        <f t="shared" si="1"/>
        <v>%db11001.dbx362.0</v>
      </c>
    </row>
    <row r="166" spans="2:13" x14ac:dyDescent="0.25">
      <c r="B166" s="139">
        <v>157</v>
      </c>
      <c r="C166" s="139">
        <v>11001</v>
      </c>
      <c r="D166" s="143" t="s">
        <v>634</v>
      </c>
      <c r="E166" s="132" t="s">
        <v>548</v>
      </c>
      <c r="F166" s="139" t="s">
        <v>463</v>
      </c>
      <c r="G166" s="140" t="s">
        <v>815</v>
      </c>
      <c r="H166" s="141" t="s">
        <v>717</v>
      </c>
      <c r="I166" s="140" t="s">
        <v>531</v>
      </c>
      <c r="J166" s="141"/>
      <c r="L166" s="122">
        <v>11001</v>
      </c>
      <c r="M166" s="122" t="str">
        <f t="shared" si="1"/>
        <v>%db11001.dbx364.0</v>
      </c>
    </row>
    <row r="167" spans="2:13" x14ac:dyDescent="0.25">
      <c r="B167" s="139">
        <v>158</v>
      </c>
      <c r="C167" s="139">
        <v>11001</v>
      </c>
      <c r="D167" s="143" t="s">
        <v>634</v>
      </c>
      <c r="E167" s="132" t="s">
        <v>548</v>
      </c>
      <c r="F167" s="139" t="s">
        <v>463</v>
      </c>
      <c r="G167" s="140" t="s">
        <v>816</v>
      </c>
      <c r="H167" s="141" t="s">
        <v>718</v>
      </c>
      <c r="I167" s="140" t="s">
        <v>532</v>
      </c>
      <c r="J167" s="141"/>
      <c r="L167" s="122">
        <v>11001</v>
      </c>
      <c r="M167" s="122" t="str">
        <f t="shared" si="1"/>
        <v>%db11001.dbx366.0</v>
      </c>
    </row>
    <row r="168" spans="2:13" x14ac:dyDescent="0.25">
      <c r="B168" s="139">
        <v>159</v>
      </c>
      <c r="C168" s="139">
        <v>11001</v>
      </c>
      <c r="D168" s="143" t="s">
        <v>634</v>
      </c>
      <c r="E168" s="132" t="s">
        <v>548</v>
      </c>
      <c r="F168" s="139" t="s">
        <v>463</v>
      </c>
      <c r="G168" s="140" t="s">
        <v>817</v>
      </c>
      <c r="H168" s="141" t="s">
        <v>719</v>
      </c>
      <c r="I168" s="140" t="s">
        <v>533</v>
      </c>
      <c r="J168" s="141"/>
      <c r="L168" s="122">
        <v>11001</v>
      </c>
      <c r="M168" s="122" t="str">
        <f t="shared" si="1"/>
        <v>%db11001.dbx368.0</v>
      </c>
    </row>
    <row r="169" spans="2:13" x14ac:dyDescent="0.25">
      <c r="B169" s="139">
        <v>160</v>
      </c>
      <c r="C169" s="139">
        <v>11001</v>
      </c>
      <c r="D169" s="143" t="s">
        <v>634</v>
      </c>
      <c r="E169" s="132" t="s">
        <v>548</v>
      </c>
      <c r="F169" s="139" t="s">
        <v>463</v>
      </c>
      <c r="G169" s="140" t="s">
        <v>818</v>
      </c>
      <c r="H169" s="141" t="s">
        <v>720</v>
      </c>
      <c r="I169" s="140" t="s">
        <v>534</v>
      </c>
      <c r="J169" s="141"/>
      <c r="L169" s="122">
        <v>11001</v>
      </c>
      <c r="M169" s="122" t="str">
        <f t="shared" si="1"/>
        <v>%db11001.dbx370.0</v>
      </c>
    </row>
    <row r="170" spans="2:13" x14ac:dyDescent="0.25">
      <c r="B170" s="139">
        <v>161</v>
      </c>
      <c r="C170" s="139">
        <v>11001</v>
      </c>
      <c r="D170" s="143" t="s">
        <v>634</v>
      </c>
      <c r="E170" s="132" t="s">
        <v>548</v>
      </c>
      <c r="F170" s="139" t="s">
        <v>463</v>
      </c>
      <c r="G170" s="140" t="s">
        <v>819</v>
      </c>
      <c r="H170" s="141" t="s">
        <v>721</v>
      </c>
      <c r="I170" s="140" t="s">
        <v>535</v>
      </c>
      <c r="J170" s="141"/>
      <c r="L170" s="122">
        <v>11001</v>
      </c>
      <c r="M170" s="122" t="str">
        <f t="shared" si="1"/>
        <v>%db11001.dbx372.0</v>
      </c>
    </row>
    <row r="171" spans="2:13" x14ac:dyDescent="0.25">
      <c r="B171" s="139">
        <v>162</v>
      </c>
      <c r="C171" s="139">
        <v>11001</v>
      </c>
      <c r="D171" s="143" t="s">
        <v>634</v>
      </c>
      <c r="E171" s="132" t="s">
        <v>548</v>
      </c>
      <c r="F171" s="139" t="s">
        <v>463</v>
      </c>
      <c r="G171" s="140" t="s">
        <v>820</v>
      </c>
      <c r="H171" s="141" t="s">
        <v>722</v>
      </c>
      <c r="I171" s="140" t="s">
        <v>536</v>
      </c>
      <c r="J171" s="141"/>
      <c r="L171" s="122">
        <v>11001</v>
      </c>
      <c r="M171" s="122" t="str">
        <f t="shared" si="1"/>
        <v>%db11001.dbx374.0</v>
      </c>
    </row>
    <row r="172" spans="2:13" x14ac:dyDescent="0.25">
      <c r="B172" s="139">
        <v>163</v>
      </c>
      <c r="C172" s="139">
        <v>11001</v>
      </c>
      <c r="D172" s="143" t="s">
        <v>634</v>
      </c>
      <c r="E172" s="132" t="s">
        <v>548</v>
      </c>
      <c r="F172" s="139" t="s">
        <v>463</v>
      </c>
      <c r="G172" s="140" t="s">
        <v>821</v>
      </c>
      <c r="H172" s="141" t="s">
        <v>723</v>
      </c>
      <c r="I172" s="140" t="s">
        <v>537</v>
      </c>
      <c r="J172" s="141"/>
      <c r="L172" s="122">
        <v>11001</v>
      </c>
      <c r="M172" s="122" t="str">
        <f t="shared" si="1"/>
        <v>%db11001.dbx376.0</v>
      </c>
    </row>
    <row r="173" spans="2:13" x14ac:dyDescent="0.25">
      <c r="B173" s="129">
        <v>164</v>
      </c>
      <c r="C173" s="129">
        <v>11001</v>
      </c>
      <c r="D173" s="143" t="s">
        <v>634</v>
      </c>
      <c r="E173" s="132" t="s">
        <v>548</v>
      </c>
      <c r="F173" s="129" t="s">
        <v>504</v>
      </c>
      <c r="G173" s="130" t="s">
        <v>586</v>
      </c>
      <c r="H173" s="137" t="s">
        <v>703</v>
      </c>
      <c r="I173" s="130" t="s">
        <v>538</v>
      </c>
      <c r="J173" s="137" t="s">
        <v>706</v>
      </c>
      <c r="L173" s="122">
        <v>11001</v>
      </c>
      <c r="M173" s="122" t="str">
        <f t="shared" si="1"/>
        <v>%db11001.dbx48.0</v>
      </c>
    </row>
    <row r="174" spans="2:13" x14ac:dyDescent="0.25">
      <c r="B174" s="129">
        <v>165</v>
      </c>
      <c r="C174" s="129">
        <v>11001</v>
      </c>
      <c r="D174" s="143" t="s">
        <v>634</v>
      </c>
      <c r="E174" s="132" t="s">
        <v>548</v>
      </c>
      <c r="F174" s="129" t="s">
        <v>504</v>
      </c>
      <c r="G174" s="130" t="s">
        <v>751</v>
      </c>
      <c r="H174" s="176" t="s">
        <v>746</v>
      </c>
      <c r="I174" s="130" t="s">
        <v>539</v>
      </c>
      <c r="J174" s="137" t="s">
        <v>747</v>
      </c>
      <c r="L174" s="122">
        <v>11001</v>
      </c>
      <c r="M174" s="122" t="str">
        <f t="shared" si="1"/>
        <v>%db11001.dbx50.0</v>
      </c>
    </row>
    <row r="175" spans="2:13" x14ac:dyDescent="0.25">
      <c r="B175" s="139">
        <v>166</v>
      </c>
      <c r="C175" s="139">
        <v>11001</v>
      </c>
      <c r="D175" s="143" t="s">
        <v>634</v>
      </c>
      <c r="E175" s="132" t="s">
        <v>548</v>
      </c>
      <c r="F175" s="139" t="s">
        <v>504</v>
      </c>
      <c r="G175" s="140" t="s">
        <v>587</v>
      </c>
      <c r="H175" s="141" t="s">
        <v>724</v>
      </c>
      <c r="I175" s="140" t="s">
        <v>540</v>
      </c>
      <c r="J175" s="141"/>
      <c r="L175" s="122">
        <v>11001</v>
      </c>
      <c r="M175" s="122" t="str">
        <f t="shared" si="1"/>
        <v>%db11001.dbx52.0</v>
      </c>
    </row>
    <row r="176" spans="2:13" x14ac:dyDescent="0.25">
      <c r="B176" s="139">
        <v>167</v>
      </c>
      <c r="C176" s="139">
        <v>11001</v>
      </c>
      <c r="D176" s="143" t="s">
        <v>634</v>
      </c>
      <c r="E176" s="132" t="s">
        <v>548</v>
      </c>
      <c r="F176" s="139" t="s">
        <v>504</v>
      </c>
      <c r="G176" s="140" t="s">
        <v>752</v>
      </c>
      <c r="H176" s="141" t="s">
        <v>725</v>
      </c>
      <c r="I176" s="140" t="s">
        <v>541</v>
      </c>
      <c r="J176" s="141"/>
      <c r="L176" s="122">
        <v>11001</v>
      </c>
      <c r="M176" s="122" t="str">
        <f t="shared" si="1"/>
        <v>%db11001.dbx54.0</v>
      </c>
    </row>
    <row r="177" spans="2:13" x14ac:dyDescent="0.25">
      <c r="B177" s="139">
        <v>168</v>
      </c>
      <c r="C177" s="139">
        <v>11001</v>
      </c>
      <c r="D177" s="143" t="s">
        <v>634</v>
      </c>
      <c r="E177" s="132" t="s">
        <v>548</v>
      </c>
      <c r="F177" s="139" t="s">
        <v>504</v>
      </c>
      <c r="G177" s="140" t="s">
        <v>588</v>
      </c>
      <c r="H177" s="141" t="s">
        <v>726</v>
      </c>
      <c r="I177" s="140" t="s">
        <v>542</v>
      </c>
      <c r="J177" s="141"/>
      <c r="L177" s="122">
        <v>11001</v>
      </c>
      <c r="M177" s="122" t="str">
        <f t="shared" si="1"/>
        <v>%db11001.dbx56.0</v>
      </c>
    </row>
    <row r="178" spans="2:13" x14ac:dyDescent="0.25">
      <c r="B178" s="139">
        <v>169</v>
      </c>
      <c r="C178" s="139">
        <v>11001</v>
      </c>
      <c r="D178" s="143" t="s">
        <v>634</v>
      </c>
      <c r="E178" s="132" t="s">
        <v>548</v>
      </c>
      <c r="F178" s="139" t="s">
        <v>504</v>
      </c>
      <c r="G178" s="140" t="s">
        <v>753</v>
      </c>
      <c r="H178" s="141" t="s">
        <v>727</v>
      </c>
      <c r="I178" s="140" t="s">
        <v>679</v>
      </c>
      <c r="J178" s="141"/>
      <c r="L178" s="122">
        <v>11001</v>
      </c>
      <c r="M178" s="122" t="str">
        <f t="shared" si="1"/>
        <v>%db11001.dbx58.0</v>
      </c>
    </row>
    <row r="179" spans="2:13" x14ac:dyDescent="0.25">
      <c r="B179" s="139">
        <v>170</v>
      </c>
      <c r="C179" s="139">
        <v>11001</v>
      </c>
      <c r="D179" s="143" t="s">
        <v>634</v>
      </c>
      <c r="E179" s="132" t="s">
        <v>548</v>
      </c>
      <c r="F179" s="139" t="s">
        <v>504</v>
      </c>
      <c r="G179" s="140" t="s">
        <v>589</v>
      </c>
      <c r="H179" s="141" t="s">
        <v>728</v>
      </c>
      <c r="I179" s="140" t="s">
        <v>680</v>
      </c>
      <c r="J179" s="141"/>
      <c r="L179" s="122">
        <v>11001</v>
      </c>
      <c r="M179" s="122" t="str">
        <f t="shared" si="1"/>
        <v>%db11001.dbx60.0</v>
      </c>
    </row>
    <row r="180" spans="2:13" x14ac:dyDescent="0.25">
      <c r="B180" s="139">
        <v>171</v>
      </c>
      <c r="C180" s="139">
        <v>11001</v>
      </c>
      <c r="D180" s="143" t="s">
        <v>634</v>
      </c>
      <c r="E180" s="132" t="s">
        <v>548</v>
      </c>
      <c r="F180" s="139" t="s">
        <v>504</v>
      </c>
      <c r="G180" s="140" t="s">
        <v>754</v>
      </c>
      <c r="H180" s="141" t="s">
        <v>729</v>
      </c>
      <c r="I180" s="140" t="s">
        <v>681</v>
      </c>
      <c r="J180" s="141"/>
      <c r="L180" s="122">
        <v>11001</v>
      </c>
      <c r="M180" s="122" t="str">
        <f t="shared" si="1"/>
        <v>%db11001.dbx62.0</v>
      </c>
    </row>
    <row r="181" spans="2:13" x14ac:dyDescent="0.25">
      <c r="B181" s="139">
        <v>172</v>
      </c>
      <c r="C181" s="139">
        <v>11001</v>
      </c>
      <c r="D181" s="143" t="s">
        <v>634</v>
      </c>
      <c r="E181" s="132" t="s">
        <v>548</v>
      </c>
      <c r="F181" s="139" t="s">
        <v>504</v>
      </c>
      <c r="G181" s="140" t="s">
        <v>590</v>
      </c>
      <c r="H181" s="141" t="s">
        <v>730</v>
      </c>
      <c r="I181" s="140" t="s">
        <v>699</v>
      </c>
      <c r="J181" s="141"/>
      <c r="L181" s="122">
        <v>11001</v>
      </c>
      <c r="M181" s="122" t="str">
        <f t="shared" si="1"/>
        <v>%db11001.dbx64.0</v>
      </c>
    </row>
    <row r="182" spans="2:13" x14ac:dyDescent="0.25">
      <c r="B182" s="139">
        <v>173</v>
      </c>
      <c r="C182" s="139">
        <v>11001</v>
      </c>
      <c r="D182" s="143" t="s">
        <v>634</v>
      </c>
      <c r="E182" s="132" t="s">
        <v>548</v>
      </c>
      <c r="F182" s="139" t="s">
        <v>504</v>
      </c>
      <c r="G182" s="140" t="s">
        <v>755</v>
      </c>
      <c r="H182" s="141" t="s">
        <v>731</v>
      </c>
      <c r="I182" s="140" t="s">
        <v>700</v>
      </c>
      <c r="J182" s="141"/>
      <c r="L182" s="122">
        <v>11001</v>
      </c>
      <c r="M182" s="122" t="str">
        <f t="shared" si="1"/>
        <v>%db11001.dbx66.0</v>
      </c>
    </row>
    <row r="183" spans="2:13" x14ac:dyDescent="0.25">
      <c r="B183" s="129">
        <v>174</v>
      </c>
      <c r="C183" s="129">
        <v>11001</v>
      </c>
      <c r="D183" s="143" t="s">
        <v>634</v>
      </c>
      <c r="E183" s="132" t="s">
        <v>548</v>
      </c>
      <c r="F183" s="129" t="s">
        <v>505</v>
      </c>
      <c r="G183" s="130" t="s">
        <v>756</v>
      </c>
      <c r="H183" s="137" t="s">
        <v>685</v>
      </c>
      <c r="I183" s="130" t="s">
        <v>543</v>
      </c>
      <c r="J183" s="137" t="s">
        <v>687</v>
      </c>
      <c r="L183" s="122">
        <v>11001</v>
      </c>
      <c r="M183" s="122" t="str">
        <f t="shared" si="1"/>
        <v>%db11001.dbx68.0</v>
      </c>
    </row>
    <row r="184" spans="2:13" x14ac:dyDescent="0.25">
      <c r="B184" s="129">
        <v>175</v>
      </c>
      <c r="C184" s="129">
        <v>11001</v>
      </c>
      <c r="D184" s="143" t="s">
        <v>634</v>
      </c>
      <c r="E184" s="132" t="s">
        <v>548</v>
      </c>
      <c r="F184" s="129" t="s">
        <v>505</v>
      </c>
      <c r="G184" s="130" t="s">
        <v>757</v>
      </c>
      <c r="H184" s="137" t="s">
        <v>686</v>
      </c>
      <c r="I184" s="130" t="s">
        <v>544</v>
      </c>
      <c r="J184" s="137" t="s">
        <v>688</v>
      </c>
      <c r="L184" s="122">
        <v>11001</v>
      </c>
      <c r="M184" s="122" t="str">
        <f t="shared" si="1"/>
        <v>%db11001.dbx72.0</v>
      </c>
    </row>
    <row r="185" spans="2:13" x14ac:dyDescent="0.25">
      <c r="B185" s="129">
        <v>176</v>
      </c>
      <c r="C185" s="129">
        <v>11001</v>
      </c>
      <c r="D185" s="143" t="s">
        <v>634</v>
      </c>
      <c r="E185" s="132" t="s">
        <v>548</v>
      </c>
      <c r="F185" s="129" t="s">
        <v>505</v>
      </c>
      <c r="G185" s="130" t="s">
        <v>758</v>
      </c>
      <c r="H185" s="137" t="s">
        <v>828</v>
      </c>
      <c r="I185" s="130" t="s">
        <v>545</v>
      </c>
      <c r="J185" s="137" t="s">
        <v>833</v>
      </c>
      <c r="L185" s="122">
        <v>11001</v>
      </c>
      <c r="M185" s="122" t="str">
        <f t="shared" si="1"/>
        <v>%db11001.dbx76.0</v>
      </c>
    </row>
    <row r="186" spans="2:13" x14ac:dyDescent="0.25">
      <c r="B186" s="129">
        <v>177</v>
      </c>
      <c r="C186" s="129">
        <v>11001</v>
      </c>
      <c r="D186" s="143" t="s">
        <v>634</v>
      </c>
      <c r="E186" s="132" t="s">
        <v>548</v>
      </c>
      <c r="F186" s="129" t="s">
        <v>505</v>
      </c>
      <c r="G186" s="130" t="s">
        <v>315</v>
      </c>
      <c r="H186" s="137" t="s">
        <v>832</v>
      </c>
      <c r="I186" s="130" t="s">
        <v>546</v>
      </c>
      <c r="J186" s="137" t="s">
        <v>831</v>
      </c>
      <c r="L186" s="122">
        <v>11001</v>
      </c>
      <c r="M186" s="122" t="str">
        <f t="shared" si="1"/>
        <v>%db11001.dbx80.0</v>
      </c>
    </row>
    <row r="187" spans="2:13" x14ac:dyDescent="0.25">
      <c r="B187" s="129">
        <v>178</v>
      </c>
      <c r="C187" s="129">
        <v>11001</v>
      </c>
      <c r="D187" s="143" t="s">
        <v>634</v>
      </c>
      <c r="E187" s="132" t="s">
        <v>548</v>
      </c>
      <c r="F187" s="129" t="s">
        <v>505</v>
      </c>
      <c r="G187" s="130" t="s">
        <v>759</v>
      </c>
      <c r="H187" s="137" t="s">
        <v>829</v>
      </c>
      <c r="I187" s="130" t="s">
        <v>547</v>
      </c>
      <c r="J187" s="137" t="s">
        <v>830</v>
      </c>
      <c r="L187" s="122">
        <v>11001</v>
      </c>
      <c r="M187" s="122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ETAPAS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Área Alimentación</cp:lastModifiedBy>
  <cp:lastPrinted>2016-08-17T15:10:46Z</cp:lastPrinted>
  <dcterms:created xsi:type="dcterms:W3CDTF">2016-05-31T13:49:05Z</dcterms:created>
  <dcterms:modified xsi:type="dcterms:W3CDTF">2026-05-14T06:54:36Z</dcterms:modified>
</cp:coreProperties>
</file>